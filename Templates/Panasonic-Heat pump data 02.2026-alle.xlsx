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comments9.xml" ContentType="application/vnd.openxmlformats-officedocument.spreadsheetml.comments+xml"/>
  <Override PartName="/xl/threadedComments/threadedComment6.xml" ContentType="application/vnd.ms-excel.threadedcomments+xml"/>
  <Override PartName="/xl/comments10.xml" ContentType="application/vnd.openxmlformats-officedocument.spreadsheetml.comments+xml"/>
  <Override PartName="/xl/threadedComments/threadedComment7.xml" ContentType="application/vnd.ms-excel.threadedcomments+xml"/>
  <Override PartName="/xl/comments11.xml" ContentType="application/vnd.openxmlformats-officedocument.spreadsheetml.comments+xml"/>
  <Override PartName="/xl/threadedComments/threadedComment8.xml" ContentType="application/vnd.ms-excel.threadedcomments+xml"/>
  <Override PartName="/xl/comments12.xml" ContentType="application/vnd.openxmlformats-officedocument.spreadsheetml.comments+xml"/>
  <Override PartName="/xl/threadedComments/threadedComment9.xml" ContentType="application/vnd.ms-excel.threadedcomments+xml"/>
  <Override PartName="/xl/comments13.xml" ContentType="application/vnd.openxmlformats-officedocument.spreadsheetml.comments+xml"/>
  <Override PartName="/xl/threadedComments/threadedComment10.xml" ContentType="application/vnd.ms-excel.threaded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hreadedComments/threadedComment11.xml" ContentType="application/vnd.ms-excel.threadedcomments+xml"/>
  <Override PartName="/xl/comments16.xml" ContentType="application/vnd.openxmlformats-officedocument.spreadsheetml.comments+xml"/>
  <Override PartName="/xl/threadedComments/threadedComment12.xml" ContentType="application/vnd.ms-excel.threadedcomments+xml"/>
  <Override PartName="/xl/comments17.xml" ContentType="application/vnd.openxmlformats-officedocument.spreadsheetml.comments+xml"/>
  <Override PartName="/xl/threadedComments/threadedComment13.xml" ContentType="application/vnd.ms-excel.threadedcomments+xml"/>
  <Override PartName="/xl/comments18.xml" ContentType="application/vnd.openxmlformats-officedocument.spreadsheetml.comments+xml"/>
  <Override PartName="/xl/threadedComments/threadedComment14.xml" ContentType="application/vnd.ms-excel.threadedcomments+xml"/>
  <Override PartName="/xl/comments19.xml" ContentType="application/vnd.openxmlformats-officedocument.spreadsheetml.comments+xml"/>
  <Override PartName="/xl/threadedComments/threadedComment15.xml" ContentType="application/vnd.ms-excel.threadedcomments+xml"/>
  <Override PartName="/xl/comments20.xml" ContentType="application/vnd.openxmlformats-officedocument.spreadsheetml.comments+xml"/>
  <Override PartName="/xl/threadedComments/threadedComment16.xml" ContentType="application/vnd.ms-excel.threadedcomments+xml"/>
  <Override PartName="/xl/comments21.xml" ContentType="application/vnd.openxmlformats-officedocument.spreadsheetml.comments+xml"/>
  <Override PartName="/xl/threadedComments/threadedComment17.xml" ContentType="application/vnd.ms-excel.threadedcomments+xml"/>
  <Override PartName="/xl/comments22.xml" ContentType="application/vnd.openxmlformats-officedocument.spreadsheetml.comments+xml"/>
  <Override PartName="/xl/threadedComments/threadedComment18.xml" ContentType="application/vnd.ms-excel.threadedcomments+xml"/>
  <Override PartName="/xl/comments23.xml" ContentType="application/vnd.openxmlformats-officedocument.spreadsheetml.comments+xml"/>
  <Override PartName="/xl/threadedComments/threadedComment19.xml" ContentType="application/vnd.ms-excel.threadedcomments+xml"/>
  <Override PartName="/xl/comments24.xml" ContentType="application/vnd.openxmlformats-officedocument.spreadsheetml.comments+xml"/>
  <Override PartName="/xl/threadedComments/threadedComment20.xml" ContentType="application/vnd.ms-excel.threadedcomments+xml"/>
  <Override PartName="/xl/comments25.xml" ContentType="application/vnd.openxmlformats-officedocument.spreadsheetml.comments+xml"/>
  <Override PartName="/xl/threadedComments/threadedComment2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xread\dev\wpsoft\projects\tools\wpoExcelToDBConveter\Templates\"/>
    </mc:Choice>
  </mc:AlternateContent>
  <xr:revisionPtr revIDLastSave="0" documentId="13_ncr:1_{A68CE583-708E-47BB-99B2-5465A32B349F}" xr6:coauthVersionLast="47" xr6:coauthVersionMax="47" xr10:uidLastSave="{00000000-0000-0000-0000-000000000000}"/>
  <bookViews>
    <workbookView xWindow="51855" yWindow="4305" windowWidth="16155" windowHeight="16155" tabRatio="851" firstSheet="8" activeTab="11" xr2:uid="{00000000-000D-0000-FFFF-FFFF00000000}"/>
  </bookViews>
  <sheets>
    <sheet name="ADC0509L_E5 (LT)" sheetId="19" r:id="rId1"/>
    <sheet name="ADC0309K_E5 (LT)" sheetId="12" r:id="rId2"/>
    <sheet name="ADC0912K6E5 (T-CAP)" sheetId="14" r:id="rId3"/>
    <sheet name="SDC0509L_E5 (LT)" sheetId="20" r:id="rId4"/>
    <sheet name="SDC0309K_E5 (LT)" sheetId="21" r:id="rId5"/>
    <sheet name="SXC09K_E5 (T-CAP)" sheetId="29" r:id="rId6"/>
    <sheet name="SXC12K6E5 (T-CAP)" sheetId="30" r:id="rId7"/>
    <sheet name="SXC09K_E8 (T-CAP" sheetId="31" r:id="rId8"/>
    <sheet name="SXC12K9E8 (T-CAP)" sheetId="32" r:id="rId9"/>
    <sheet name="SXC16K9E8 (T-CAP)" sheetId="33" r:id="rId10"/>
    <sheet name="WH-ADC0309J3E5(B) (LT)" sheetId="22" r:id="rId11"/>
    <sheet name="WH-ADC0309J3E5C (LT)" sheetId="26" r:id="rId12"/>
    <sheet name="WH-ADC0316M9E82(AN) (T-CAP)" sheetId="27" r:id="rId13"/>
    <sheet name="WH-WXG_ME8 (T-CAP)" sheetId="28" r:id="rId14"/>
    <sheet name="WH-SDC0316M9E8 (T-CAP)" sheetId="34" r:id="rId15"/>
    <sheet name="WH-ADC0316M9E83(AN) (T-CAP) " sheetId="35" r:id="rId16"/>
    <sheet name="WH-ADC0912K6E8(AN) (T-CAP)" sheetId="36" r:id="rId17"/>
    <sheet name="WH-ADC16K9E83(AN) (T-CAP)" sheetId="37" r:id="rId18"/>
    <sheet name="WH-WXG_ME5 (T-CAP)" sheetId="38" r:id="rId19"/>
    <sheet name="WH-ADC0916M3E52 (AN,UK) (T-CAP)" sheetId="39" r:id="rId20"/>
    <sheet name="WH-ADC0916M3E53(AN,UK) (T-CAP)" sheetId="40" r:id="rId21"/>
    <sheet name="WH-SDC0916M3E5 (T-CAP)" sheetId="41" r:id="rId22"/>
    <sheet name="WH_ADC0509L3E5(UK)1" sheetId="43" r:id="rId23"/>
    <sheet name="WH-ADC16K6E5(AN,UK)" sheetId="49" r:id="rId24"/>
    <sheet name="WH-SDC16K6E5" sheetId="61" r:id="rId25"/>
    <sheet name="WH-ADC0916M3E5(UK)1 (HP)" sheetId="63" r:id="rId26"/>
    <sheet name="WH-ADC0316M9E81 (T-CAP)" sheetId="46" r:id="rId27"/>
    <sheet name="WH-ADC0916M3E5(UK)1 (T-CAP)" sheetId="45" r:id="rId28"/>
    <sheet name="WH-ADC16K6E5(AN,UK)3" sheetId="62" r:id="rId29"/>
    <sheet name="WH-ADC0916M_E5(AN)2" sheetId="64" r:id="rId30"/>
    <sheet name="WH-ADC0916M_E5(AN)3" sheetId="65" r:id="rId31"/>
    <sheet name="WH-SDC0916M_E5" sheetId="66" r:id="rId32"/>
    <sheet name="WH-WDG12_16ME5" sheetId="67" r:id="rId33"/>
    <sheet name="TEMPLATE DNT!" sheetId="60" r:id="rId34"/>
  </sheets>
  <definedNames>
    <definedName name="_xlnm._FilterDatabase" localSheetId="1" hidden="1">'ADC0309K_E5 (LT)'!$R$1:$T$82</definedName>
    <definedName name="_xlnm._FilterDatabase" localSheetId="0" hidden="1">'ADC0509L_E5 (LT)'!$R$1:$T$67</definedName>
    <definedName name="_xlnm._FilterDatabase" localSheetId="2" hidden="1">'ADC0912K6E5 (T-CAP)'!$R$1:$T$31</definedName>
    <definedName name="_xlnm._FilterDatabase" localSheetId="4" hidden="1">'SDC0309K_E5 (LT)'!$R$1:$T$84</definedName>
    <definedName name="_xlnm._FilterDatabase" localSheetId="3" hidden="1">'SDC0509L_E5 (LT)'!$R$1:$T$67</definedName>
    <definedName name="_xlnm._FilterDatabase" localSheetId="5" hidden="1">'SXC09K_E5 (T-CAP)'!$R$1:$T$30</definedName>
    <definedName name="_xlnm._FilterDatabase" localSheetId="7" hidden="1">'SXC09K_E8 (T-CAP'!$R$1:$T$84</definedName>
    <definedName name="_xlnm._FilterDatabase" localSheetId="6" hidden="1">'SXC12K6E5 (T-CAP)'!$R$1:$T$21</definedName>
    <definedName name="_xlnm._FilterDatabase" localSheetId="8" hidden="1">'SXC12K9E8 (T-CAP)'!$R$1:$T$21</definedName>
    <definedName name="_xlnm._FilterDatabase" localSheetId="9" hidden="1">'SXC16K9E8 (T-CAP)'!$R$1:$T$21</definedName>
    <definedName name="_xlnm._FilterDatabase" localSheetId="22" hidden="1">'WH_ADC0509L3E5(UK)1'!$R$1:$T$40</definedName>
    <definedName name="_xlnm._FilterDatabase" localSheetId="10" hidden="1">'WH-ADC0309J3E5(B) (LT)'!$R$1:$T$43</definedName>
    <definedName name="_xlnm._FilterDatabase" localSheetId="11" hidden="1">'WH-ADC0309J3E5C (LT)'!$R$1:$T$27</definedName>
    <definedName name="_xlnm._FilterDatabase" localSheetId="26" hidden="1">'WH-ADC0316M9E81 (T-CAP)'!$R$1:$T$33</definedName>
    <definedName name="_xlnm._FilterDatabase" localSheetId="12" hidden="1">'WH-ADC0316M9E82(AN) (T-CAP)'!$R$1:$T$53</definedName>
    <definedName name="_xlnm._FilterDatabase" localSheetId="15" hidden="1">'WH-ADC0316M9E83(AN) (T-CAP) '!$R$1:$T$53</definedName>
    <definedName name="_xlnm._FilterDatabase" localSheetId="16" hidden="1">'WH-ADC0912K6E8(AN) (T-CAP)'!$R$1:$T$48</definedName>
    <definedName name="_xlnm._FilterDatabase" localSheetId="27" hidden="1">'WH-ADC0916M3E5(UK)1 (T-CAP)'!$R$1:$T$33</definedName>
    <definedName name="_xlnm._FilterDatabase" localSheetId="19" hidden="1">'WH-ADC0916M3E52 (AN,UK) (T-CAP)'!$R$1:$T$73</definedName>
    <definedName name="_xlnm._FilterDatabase" localSheetId="20" hidden="1">'WH-ADC0916M3E53(AN,UK) (T-CAP)'!$R$1:$T$73</definedName>
    <definedName name="_xlnm._FilterDatabase" localSheetId="17" hidden="1">'WH-ADC16K9E83(AN) (T-CAP)'!$R$1:$T$21</definedName>
    <definedName name="_xlnm._FilterDatabase" localSheetId="14" hidden="1">'WH-SDC0316M9E8 (T-CAP)'!$R$1:$T$24</definedName>
    <definedName name="_xlnm._FilterDatabase" localSheetId="21" hidden="1">'WH-SDC0916M3E5 (T-CAP)'!$R$1:$T$24</definedName>
    <definedName name="_xlnm._FilterDatabase" localSheetId="18" hidden="1">'WH-WXG_ME5 (T-CAP)'!$R$1:$T$23</definedName>
    <definedName name="_xlnm._FilterDatabase" localSheetId="13" hidden="1">'WH-WXG_ME8 (T-CAP)'!$R$1:$T$32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8" i="66" l="1"/>
  <c r="AH17" i="66"/>
  <c r="AH15" i="66"/>
  <c r="AH8" i="66"/>
  <c r="AH7" i="66"/>
  <c r="AH5" i="66"/>
  <c r="AH18" i="67"/>
  <c r="AH17" i="67"/>
  <c r="AH15" i="67"/>
  <c r="AH8" i="67"/>
  <c r="AH7" i="67"/>
  <c r="AH5" i="67"/>
  <c r="AH38" i="67"/>
  <c r="AH37" i="67"/>
  <c r="AH35" i="67"/>
  <c r="AH28" i="67"/>
  <c r="AH27" i="67"/>
  <c r="AH25" i="67"/>
  <c r="AH28" i="66"/>
  <c r="AH27" i="66"/>
  <c r="AH25" i="66"/>
  <c r="AH38" i="66"/>
  <c r="AH37" i="66"/>
  <c r="AH35" i="66"/>
  <c r="AH78" i="65"/>
  <c r="AH77" i="65"/>
  <c r="AH75" i="65"/>
  <c r="AH68" i="65"/>
  <c r="AH67" i="65"/>
  <c r="AH65" i="65"/>
  <c r="AH58" i="65"/>
  <c r="AH57" i="65"/>
  <c r="AH55" i="65"/>
  <c r="AH48" i="65"/>
  <c r="AH47" i="65"/>
  <c r="AH45" i="65"/>
  <c r="AH38" i="65"/>
  <c r="AH37" i="65"/>
  <c r="AH35" i="65"/>
  <c r="AH28" i="65"/>
  <c r="AH27" i="65"/>
  <c r="AH25" i="65"/>
  <c r="AH18" i="65"/>
  <c r="AH17" i="65"/>
  <c r="AH15" i="65"/>
  <c r="AH8" i="65"/>
  <c r="AH7" i="65"/>
  <c r="AH5" i="65"/>
  <c r="AH78" i="64"/>
  <c r="AH77" i="64"/>
  <c r="AH75" i="64"/>
  <c r="AH68" i="64"/>
  <c r="AH67" i="64"/>
  <c r="AH65" i="64"/>
  <c r="AH58" i="64"/>
  <c r="AH57" i="64"/>
  <c r="AH55" i="64"/>
  <c r="AH48" i="64"/>
  <c r="AH47" i="64"/>
  <c r="AH45" i="64"/>
  <c r="AH38" i="64"/>
  <c r="AH37" i="64"/>
  <c r="AH35" i="64"/>
  <c r="AH28" i="64"/>
  <c r="AH27" i="64"/>
  <c r="AH25" i="64"/>
  <c r="AH18" i="64"/>
  <c r="AH17" i="64"/>
  <c r="AH15" i="64"/>
  <c r="AH8" i="64"/>
  <c r="AH7" i="64"/>
  <c r="AH5" i="64"/>
  <c r="AH38" i="63"/>
  <c r="AH37" i="63"/>
  <c r="AH35" i="63"/>
  <c r="AH18" i="63"/>
  <c r="AH17" i="63"/>
  <c r="AH15" i="63"/>
  <c r="W82" i="65"/>
  <c r="K82" i="65"/>
  <c r="Y82" i="65" s="1"/>
  <c r="Y81" i="65"/>
  <c r="W81" i="65"/>
  <c r="K81" i="65"/>
  <c r="Y80" i="65"/>
  <c r="W80" i="65"/>
  <c r="K80" i="65"/>
  <c r="W78" i="65"/>
  <c r="K78" i="65"/>
  <c r="W77" i="65"/>
  <c r="K77" i="65"/>
  <c r="W76" i="65"/>
  <c r="K76" i="65"/>
  <c r="W42" i="65"/>
  <c r="K42" i="65"/>
  <c r="Y42" i="65" s="1"/>
  <c r="Y41" i="65"/>
  <c r="W41" i="65"/>
  <c r="K41" i="65"/>
  <c r="Y40" i="65"/>
  <c r="W40" i="65"/>
  <c r="K40" i="65"/>
  <c r="W38" i="65"/>
  <c r="K38" i="65"/>
  <c r="W37" i="65"/>
  <c r="K37" i="65"/>
  <c r="W36" i="65"/>
  <c r="K36" i="65"/>
  <c r="W82" i="64"/>
  <c r="K82" i="64"/>
  <c r="Y82" i="64" s="1"/>
  <c r="Y81" i="64"/>
  <c r="W81" i="64"/>
  <c r="K81" i="64"/>
  <c r="Y80" i="64"/>
  <c r="W80" i="64"/>
  <c r="K80" i="64"/>
  <c r="W78" i="64"/>
  <c r="K78" i="64"/>
  <c r="W77" i="64"/>
  <c r="K77" i="64"/>
  <c r="W76" i="64"/>
  <c r="K76" i="64"/>
  <c r="W42" i="64"/>
  <c r="K42" i="64"/>
  <c r="Y42" i="64" s="1"/>
  <c r="Y41" i="64"/>
  <c r="W41" i="64"/>
  <c r="K41" i="64"/>
  <c r="Y40" i="64"/>
  <c r="W40" i="64"/>
  <c r="K40" i="64"/>
  <c r="W38" i="64"/>
  <c r="K38" i="64"/>
  <c r="W37" i="64"/>
  <c r="K37" i="64"/>
  <c r="W36" i="64"/>
  <c r="K36" i="64"/>
  <c r="Y42" i="67"/>
  <c r="W42" i="67"/>
  <c r="K42" i="67"/>
  <c r="Y41" i="67"/>
  <c r="W41" i="67"/>
  <c r="K41" i="67"/>
  <c r="Y40" i="67"/>
  <c r="W40" i="67"/>
  <c r="K40" i="67"/>
  <c r="W38" i="67"/>
  <c r="K38" i="67"/>
  <c r="W37" i="67"/>
  <c r="K37" i="67"/>
  <c r="W36" i="67"/>
  <c r="K36" i="67"/>
  <c r="W32" i="67"/>
  <c r="K32" i="67"/>
  <c r="Y32" i="67" s="1"/>
  <c r="Y31" i="67"/>
  <c r="W31" i="67"/>
  <c r="K31" i="67"/>
  <c r="Y30" i="67"/>
  <c r="W30" i="67"/>
  <c r="K30" i="67"/>
  <c r="W28" i="67"/>
  <c r="K28" i="67"/>
  <c r="W27" i="67"/>
  <c r="K27" i="67"/>
  <c r="W26" i="67"/>
  <c r="K26" i="67"/>
  <c r="W22" i="67"/>
  <c r="K22" i="67"/>
  <c r="Y22" i="67" s="1"/>
  <c r="Y21" i="67"/>
  <c r="W21" i="67"/>
  <c r="K21" i="67"/>
  <c r="Y20" i="67"/>
  <c r="W20" i="67"/>
  <c r="K20" i="67"/>
  <c r="W18" i="67"/>
  <c r="K18" i="67"/>
  <c r="W17" i="67"/>
  <c r="K17" i="67"/>
  <c r="W16" i="67"/>
  <c r="K16" i="67"/>
  <c r="W12" i="67"/>
  <c r="K12" i="67"/>
  <c r="Y12" i="67" s="1"/>
  <c r="Y11" i="67"/>
  <c r="W11" i="67"/>
  <c r="K11" i="67"/>
  <c r="Y10" i="67"/>
  <c r="W10" i="67"/>
  <c r="K10" i="67"/>
  <c r="W8" i="67"/>
  <c r="K8" i="67"/>
  <c r="W7" i="67"/>
  <c r="K7" i="67"/>
  <c r="W6" i="67"/>
  <c r="K6" i="67"/>
  <c r="W42" i="66"/>
  <c r="K42" i="66"/>
  <c r="Y42" i="66" s="1"/>
  <c r="Y41" i="66"/>
  <c r="W41" i="66"/>
  <c r="K41" i="66"/>
  <c r="Y40" i="66"/>
  <c r="W40" i="66"/>
  <c r="K40" i="66"/>
  <c r="W38" i="66"/>
  <c r="K38" i="66"/>
  <c r="W37" i="66"/>
  <c r="K37" i="66"/>
  <c r="W36" i="66"/>
  <c r="K36" i="66"/>
  <c r="W32" i="66"/>
  <c r="K32" i="66"/>
  <c r="Y32" i="66" s="1"/>
  <c r="Y31" i="66"/>
  <c r="W31" i="66"/>
  <c r="K31" i="66"/>
  <c r="Y30" i="66"/>
  <c r="W30" i="66"/>
  <c r="K30" i="66"/>
  <c r="W28" i="66"/>
  <c r="K28" i="66"/>
  <c r="W27" i="66"/>
  <c r="K27" i="66"/>
  <c r="W26" i="66"/>
  <c r="K26" i="66"/>
  <c r="W22" i="66"/>
  <c r="K22" i="66"/>
  <c r="Y22" i="66" s="1"/>
  <c r="Y21" i="66"/>
  <c r="W21" i="66"/>
  <c r="K21" i="66"/>
  <c r="Y20" i="66"/>
  <c r="W20" i="66"/>
  <c r="K20" i="66"/>
  <c r="W18" i="66"/>
  <c r="K18" i="66"/>
  <c r="W17" i="66"/>
  <c r="K17" i="66"/>
  <c r="W16" i="66"/>
  <c r="K16" i="66"/>
  <c r="W12" i="66"/>
  <c r="K12" i="66"/>
  <c r="Y12" i="66" s="1"/>
  <c r="Y11" i="66"/>
  <c r="W11" i="66"/>
  <c r="K11" i="66"/>
  <c r="Y10" i="66"/>
  <c r="W10" i="66"/>
  <c r="K10" i="66"/>
  <c r="W8" i="66"/>
  <c r="K8" i="66"/>
  <c r="W7" i="66"/>
  <c r="K7" i="66"/>
  <c r="W6" i="66"/>
  <c r="K6" i="66"/>
  <c r="W72" i="65"/>
  <c r="K72" i="65"/>
  <c r="Y72" i="65" s="1"/>
  <c r="Y71" i="65"/>
  <c r="W71" i="65"/>
  <c r="K71" i="65"/>
  <c r="Y70" i="65"/>
  <c r="W70" i="65"/>
  <c r="K70" i="65"/>
  <c r="W68" i="65"/>
  <c r="K68" i="65"/>
  <c r="W67" i="65"/>
  <c r="K67" i="65"/>
  <c r="W66" i="65"/>
  <c r="K66" i="65"/>
  <c r="W62" i="65"/>
  <c r="K62" i="65"/>
  <c r="Y62" i="65" s="1"/>
  <c r="Y61" i="65"/>
  <c r="W61" i="65"/>
  <c r="K61" i="65"/>
  <c r="Y60" i="65"/>
  <c r="W60" i="65"/>
  <c r="K60" i="65"/>
  <c r="W58" i="65"/>
  <c r="K58" i="65"/>
  <c r="W57" i="65"/>
  <c r="K57" i="65"/>
  <c r="W56" i="65"/>
  <c r="K56" i="65"/>
  <c r="W52" i="65"/>
  <c r="K52" i="65"/>
  <c r="Y52" i="65" s="1"/>
  <c r="Y51" i="65"/>
  <c r="W51" i="65"/>
  <c r="K51" i="65"/>
  <c r="Y50" i="65"/>
  <c r="W50" i="65"/>
  <c r="K50" i="65"/>
  <c r="W48" i="65"/>
  <c r="K48" i="65"/>
  <c r="W47" i="65"/>
  <c r="K47" i="65"/>
  <c r="W46" i="65"/>
  <c r="K46" i="65"/>
  <c r="W32" i="65"/>
  <c r="K32" i="65"/>
  <c r="Y32" i="65" s="1"/>
  <c r="Y31" i="65"/>
  <c r="W31" i="65"/>
  <c r="K31" i="65"/>
  <c r="Y30" i="65"/>
  <c r="W30" i="65"/>
  <c r="K30" i="65"/>
  <c r="W28" i="65"/>
  <c r="K28" i="65"/>
  <c r="W27" i="65"/>
  <c r="K27" i="65"/>
  <c r="W26" i="65"/>
  <c r="K26" i="65"/>
  <c r="W22" i="65"/>
  <c r="K22" i="65"/>
  <c r="Y22" i="65" s="1"/>
  <c r="Y21" i="65"/>
  <c r="W21" i="65"/>
  <c r="K21" i="65"/>
  <c r="Y20" i="65"/>
  <c r="W20" i="65"/>
  <c r="K20" i="65"/>
  <c r="W18" i="65"/>
  <c r="K18" i="65"/>
  <c r="W17" i="65"/>
  <c r="K17" i="65"/>
  <c r="W16" i="65"/>
  <c r="K16" i="65"/>
  <c r="W12" i="65"/>
  <c r="K12" i="65"/>
  <c r="Y12" i="65" s="1"/>
  <c r="Y11" i="65"/>
  <c r="W11" i="65"/>
  <c r="K11" i="65"/>
  <c r="Y10" i="65"/>
  <c r="W10" i="65"/>
  <c r="K10" i="65"/>
  <c r="W8" i="65"/>
  <c r="K8" i="65"/>
  <c r="W7" i="65"/>
  <c r="K7" i="65"/>
  <c r="W6" i="65"/>
  <c r="K6" i="65"/>
  <c r="W72" i="64"/>
  <c r="K72" i="64"/>
  <c r="Y72" i="64" s="1"/>
  <c r="Y71" i="64"/>
  <c r="W71" i="64"/>
  <c r="K71" i="64"/>
  <c r="Y70" i="64"/>
  <c r="W70" i="64"/>
  <c r="K70" i="64"/>
  <c r="W68" i="64"/>
  <c r="K68" i="64"/>
  <c r="W67" i="64"/>
  <c r="K67" i="64"/>
  <c r="W66" i="64"/>
  <c r="K66" i="64"/>
  <c r="W32" i="64"/>
  <c r="K32" i="64"/>
  <c r="Y32" i="64" s="1"/>
  <c r="Y31" i="64"/>
  <c r="W31" i="64"/>
  <c r="K31" i="64"/>
  <c r="Y30" i="64"/>
  <c r="W30" i="64"/>
  <c r="K30" i="64"/>
  <c r="W28" i="64"/>
  <c r="K28" i="64"/>
  <c r="W27" i="64"/>
  <c r="K27" i="64"/>
  <c r="W26" i="64"/>
  <c r="K26" i="64"/>
  <c r="W62" i="64"/>
  <c r="K62" i="64"/>
  <c r="Y62" i="64" s="1"/>
  <c r="Y61" i="64"/>
  <c r="W61" i="64"/>
  <c r="K61" i="64"/>
  <c r="Y60" i="64"/>
  <c r="W60" i="64"/>
  <c r="K60" i="64"/>
  <c r="W58" i="64"/>
  <c r="K58" i="64"/>
  <c r="W57" i="64"/>
  <c r="K57" i="64"/>
  <c r="W56" i="64"/>
  <c r="K56" i="64"/>
  <c r="W52" i="64"/>
  <c r="K52" i="64"/>
  <c r="Y52" i="64" s="1"/>
  <c r="Y51" i="64"/>
  <c r="W51" i="64"/>
  <c r="K51" i="64"/>
  <c r="Y50" i="64"/>
  <c r="W50" i="64"/>
  <c r="K50" i="64"/>
  <c r="W48" i="64"/>
  <c r="K48" i="64"/>
  <c r="W47" i="64"/>
  <c r="K47" i="64"/>
  <c r="W46" i="64"/>
  <c r="K46" i="64"/>
  <c r="W22" i="64"/>
  <c r="K22" i="64"/>
  <c r="Y22" i="64" s="1"/>
  <c r="Y21" i="64"/>
  <c r="W21" i="64"/>
  <c r="K21" i="64"/>
  <c r="Y20" i="64"/>
  <c r="W20" i="64"/>
  <c r="K20" i="64"/>
  <c r="W18" i="64"/>
  <c r="K18" i="64"/>
  <c r="W17" i="64"/>
  <c r="K17" i="64"/>
  <c r="W16" i="64"/>
  <c r="K16" i="64"/>
  <c r="W12" i="64"/>
  <c r="K12" i="64"/>
  <c r="Y12" i="64" s="1"/>
  <c r="Y11" i="64"/>
  <c r="W11" i="64"/>
  <c r="K11" i="64"/>
  <c r="Y10" i="64"/>
  <c r="W10" i="64"/>
  <c r="K10" i="64"/>
  <c r="W8" i="64"/>
  <c r="K8" i="64"/>
  <c r="W7" i="64"/>
  <c r="K7" i="64"/>
  <c r="W6" i="64"/>
  <c r="K6" i="64"/>
  <c r="W12" i="61"/>
  <c r="K12" i="61"/>
  <c r="Y12" i="61" s="1"/>
  <c r="Y11" i="61"/>
  <c r="W11" i="61"/>
  <c r="K11" i="61"/>
  <c r="Y10" i="61"/>
  <c r="W10" i="61"/>
  <c r="K10" i="61"/>
  <c r="AH8" i="61"/>
  <c r="W8" i="61"/>
  <c r="K8" i="61"/>
  <c r="AH7" i="61"/>
  <c r="W7" i="61"/>
  <c r="K7" i="61"/>
  <c r="AH5" i="61"/>
  <c r="W32" i="62"/>
  <c r="K32" i="62"/>
  <c r="Y32" i="62" s="1"/>
  <c r="Y31" i="62"/>
  <c r="W31" i="62"/>
  <c r="K31" i="62"/>
  <c r="Y30" i="62"/>
  <c r="W30" i="62"/>
  <c r="K30" i="62"/>
  <c r="AH28" i="62"/>
  <c r="W28" i="62"/>
  <c r="K28" i="62"/>
  <c r="AH27" i="62"/>
  <c r="W27" i="62"/>
  <c r="K27" i="62"/>
  <c r="AH25" i="62"/>
  <c r="Y22" i="62"/>
  <c r="W22" i="62"/>
  <c r="K22" i="62"/>
  <c r="Y21" i="62"/>
  <c r="W21" i="62"/>
  <c r="K21" i="62"/>
  <c r="Y20" i="62"/>
  <c r="W20" i="62"/>
  <c r="K20" i="62"/>
  <c r="AH18" i="62"/>
  <c r="W18" i="62"/>
  <c r="K18" i="62"/>
  <c r="AH17" i="62"/>
  <c r="W17" i="62"/>
  <c r="K17" i="62"/>
  <c r="AH15" i="62"/>
  <c r="Y12" i="62"/>
  <c r="W12" i="62"/>
  <c r="K12" i="62"/>
  <c r="Y11" i="62"/>
  <c r="W11" i="62"/>
  <c r="K11" i="62"/>
  <c r="Y10" i="62"/>
  <c r="W10" i="62"/>
  <c r="K10" i="62"/>
  <c r="AH8" i="62"/>
  <c r="W8" i="62"/>
  <c r="K8" i="62"/>
  <c r="AH7" i="62"/>
  <c r="W7" i="62"/>
  <c r="K7" i="62"/>
  <c r="AH5" i="62"/>
  <c r="W42" i="63"/>
  <c r="K42" i="63"/>
  <c r="Y42" i="63" s="1"/>
  <c r="Y41" i="63"/>
  <c r="W41" i="63"/>
  <c r="K41" i="63"/>
  <c r="Y40" i="63"/>
  <c r="W40" i="63"/>
  <c r="K40" i="63"/>
  <c r="W38" i="63"/>
  <c r="K38" i="63"/>
  <c r="W37" i="63"/>
  <c r="K37" i="63"/>
  <c r="W36" i="63"/>
  <c r="K36" i="63"/>
  <c r="Y32" i="63"/>
  <c r="Y31" i="63"/>
  <c r="Y30" i="63"/>
  <c r="W22" i="63"/>
  <c r="K22" i="63"/>
  <c r="Y22" i="63" s="1"/>
  <c r="Y21" i="63"/>
  <c r="W21" i="63"/>
  <c r="K21" i="63"/>
  <c r="Y20" i="63"/>
  <c r="W20" i="63"/>
  <c r="K20" i="63"/>
  <c r="W18" i="63"/>
  <c r="K18" i="63"/>
  <c r="W17" i="63"/>
  <c r="K17" i="63"/>
  <c r="W16" i="63"/>
  <c r="K16" i="63"/>
  <c r="Y11" i="63"/>
  <c r="Y10" i="63"/>
  <c r="Y32" i="49"/>
  <c r="W32" i="49"/>
  <c r="K32" i="49"/>
  <c r="Y31" i="49"/>
  <c r="W31" i="49"/>
  <c r="K31" i="49"/>
  <c r="Y30" i="49"/>
  <c r="W30" i="49"/>
  <c r="K30" i="49"/>
  <c r="AH28" i="49"/>
  <c r="W28" i="49"/>
  <c r="K28" i="49"/>
  <c r="AH27" i="49"/>
  <c r="W27" i="49"/>
  <c r="K27" i="49"/>
  <c r="AH25" i="49"/>
  <c r="W22" i="49"/>
  <c r="K22" i="49"/>
  <c r="Y22" i="49" s="1"/>
  <c r="Y21" i="49"/>
  <c r="W21" i="49"/>
  <c r="K21" i="49"/>
  <c r="Y20" i="49"/>
  <c r="W20" i="49"/>
  <c r="K20" i="49"/>
  <c r="AH18" i="49"/>
  <c r="W18" i="49"/>
  <c r="K18" i="49"/>
  <c r="AH17" i="49"/>
  <c r="W17" i="49"/>
  <c r="K17" i="49"/>
  <c r="AH15" i="49"/>
  <c r="Y12" i="49"/>
  <c r="Y11" i="49"/>
  <c r="Y10" i="49"/>
  <c r="K32" i="63"/>
  <c r="K31" i="63"/>
  <c r="K30" i="63"/>
  <c r="K28" i="63"/>
  <c r="K27" i="63"/>
  <c r="K26" i="63"/>
  <c r="W27" i="63"/>
  <c r="W28" i="63"/>
  <c r="W30" i="63"/>
  <c r="W31" i="63"/>
  <c r="W32" i="63"/>
  <c r="W26" i="63"/>
  <c r="AH28" i="63"/>
  <c r="AH27" i="63"/>
  <c r="AH25" i="63"/>
  <c r="AH8" i="63"/>
  <c r="AH7" i="63"/>
  <c r="AH5" i="63"/>
  <c r="W12" i="63"/>
  <c r="W11" i="63"/>
  <c r="W10" i="63"/>
  <c r="W8" i="63"/>
  <c r="W7" i="63"/>
  <c r="W6" i="63"/>
  <c r="K11" i="63"/>
  <c r="K12" i="63"/>
  <c r="Y12" i="63" s="1"/>
  <c r="K10" i="63"/>
  <c r="K7" i="63"/>
  <c r="K8" i="63"/>
  <c r="K6" i="63"/>
  <c r="AH8" i="49" l="1"/>
  <c r="AH7" i="49"/>
  <c r="AH5" i="49"/>
  <c r="W12" i="49"/>
  <c r="W11" i="49"/>
  <c r="W10" i="49"/>
  <c r="W8" i="49"/>
  <c r="W7" i="49"/>
  <c r="K12" i="49"/>
  <c r="K11" i="49"/>
  <c r="K10" i="49"/>
  <c r="K8" i="49"/>
  <c r="K7" i="49"/>
  <c r="Y32" i="46" l="1"/>
  <c r="Y31" i="46"/>
  <c r="Y30" i="46"/>
  <c r="AH28" i="46"/>
  <c r="AH27" i="46"/>
  <c r="AH25" i="46"/>
  <c r="Y22" i="46"/>
  <c r="Y21" i="46"/>
  <c r="Y20" i="46"/>
  <c r="AH18" i="46"/>
  <c r="AH17" i="46"/>
  <c r="AH15" i="46"/>
  <c r="Y12" i="46"/>
  <c r="Y11" i="46"/>
  <c r="Y10" i="46"/>
  <c r="AH8" i="46"/>
  <c r="AH7" i="46"/>
  <c r="AH5" i="46"/>
  <c r="Y42" i="45"/>
  <c r="Y41" i="45"/>
  <c r="Y40" i="45"/>
  <c r="AH38" i="45"/>
  <c r="AH37" i="45"/>
  <c r="AH35" i="45"/>
  <c r="Y32" i="45"/>
  <c r="Y31" i="45"/>
  <c r="Y30" i="45"/>
  <c r="AH28" i="45"/>
  <c r="AH27" i="45"/>
  <c r="AH25" i="45"/>
  <c r="Y22" i="45"/>
  <c r="Y21" i="45"/>
  <c r="Y20" i="45"/>
  <c r="AH18" i="45"/>
  <c r="AH17" i="45"/>
  <c r="AH15" i="45"/>
  <c r="Y12" i="45"/>
  <c r="Y11" i="45"/>
  <c r="Y10" i="45"/>
  <c r="AH8" i="45"/>
  <c r="AH7" i="45"/>
  <c r="AH5" i="45"/>
  <c r="Y56" i="43"/>
  <c r="W56" i="43"/>
  <c r="Y55" i="43"/>
  <c r="W55" i="43"/>
  <c r="Y54" i="43"/>
  <c r="W54" i="43"/>
  <c r="AH53" i="43"/>
  <c r="AH52" i="43"/>
  <c r="W52" i="43"/>
  <c r="W51" i="43"/>
  <c r="K51" i="43"/>
  <c r="AH50" i="43"/>
  <c r="W50" i="43"/>
  <c r="K50" i="43"/>
  <c r="Y47" i="43"/>
  <c r="W47" i="43"/>
  <c r="K47" i="43"/>
  <c r="Y46" i="43"/>
  <c r="W46" i="43"/>
  <c r="K46" i="43"/>
  <c r="Y45" i="43"/>
  <c r="W45" i="43"/>
  <c r="K45" i="43"/>
  <c r="AH44" i="43"/>
  <c r="AH43" i="43"/>
  <c r="W43" i="43"/>
  <c r="K43" i="43"/>
  <c r="W42" i="43"/>
  <c r="K42" i="43"/>
  <c r="AH41" i="43"/>
  <c r="W41" i="43"/>
  <c r="K41" i="43"/>
  <c r="W38" i="43"/>
  <c r="K38" i="43"/>
  <c r="Y38" i="43" s="1"/>
  <c r="Y37" i="43"/>
  <c r="W37" i="43"/>
  <c r="K37" i="43"/>
  <c r="Y36" i="43"/>
  <c r="W36" i="43"/>
  <c r="K36" i="43"/>
  <c r="AH35" i="43"/>
  <c r="AH34" i="43"/>
  <c r="W34" i="43"/>
  <c r="K34" i="43"/>
  <c r="W33" i="43"/>
  <c r="K33" i="43"/>
  <c r="AH32" i="43"/>
  <c r="W32" i="43"/>
  <c r="K32" i="43"/>
  <c r="Y29" i="43"/>
  <c r="W29" i="43"/>
  <c r="Y28" i="43"/>
  <c r="W28" i="43"/>
  <c r="Y27" i="43"/>
  <c r="W27" i="43"/>
  <c r="AH26" i="43"/>
  <c r="AH25" i="43"/>
  <c r="W25" i="43"/>
  <c r="W24" i="43"/>
  <c r="K24" i="43"/>
  <c r="AH23" i="43"/>
  <c r="W23" i="43"/>
  <c r="K23" i="43"/>
  <c r="W20" i="43"/>
  <c r="K20" i="43"/>
  <c r="Y20" i="43" s="1"/>
  <c r="Y19" i="43"/>
  <c r="W19" i="43"/>
  <c r="K19" i="43"/>
  <c r="Y18" i="43"/>
  <c r="W18" i="43"/>
  <c r="K18" i="43"/>
  <c r="AH17" i="43"/>
  <c r="AH16" i="43"/>
  <c r="W16" i="43"/>
  <c r="K16" i="43"/>
  <c r="W15" i="43"/>
  <c r="K15" i="43"/>
  <c r="AH14" i="43"/>
  <c r="W14" i="43"/>
  <c r="K14" i="43"/>
  <c r="W11" i="43"/>
  <c r="K11" i="43"/>
  <c r="Y11" i="43" s="1"/>
  <c r="Y10" i="43"/>
  <c r="W10" i="43"/>
  <c r="K10" i="43"/>
  <c r="Y9" i="43"/>
  <c r="W9" i="43"/>
  <c r="K9" i="43"/>
  <c r="AH8" i="43"/>
  <c r="AH7" i="43"/>
  <c r="W7" i="43"/>
  <c r="K7" i="43"/>
  <c r="W6" i="43"/>
  <c r="K6" i="43"/>
  <c r="AH5" i="43"/>
  <c r="W5" i="43"/>
  <c r="K5" i="43"/>
  <c r="Y62" i="40"/>
  <c r="Y61" i="40"/>
  <c r="Y60" i="40"/>
  <c r="AH58" i="40"/>
  <c r="AH57" i="40"/>
  <c r="AH55" i="40"/>
  <c r="Y22" i="40"/>
  <c r="Y21" i="40"/>
  <c r="Y20" i="40"/>
  <c r="AH18" i="40"/>
  <c r="AH17" i="40"/>
  <c r="AH15" i="40"/>
  <c r="Y62" i="39"/>
  <c r="Y61" i="39"/>
  <c r="Y60" i="39"/>
  <c r="AH58" i="39"/>
  <c r="AH57" i="39"/>
  <c r="AH55" i="39"/>
  <c r="Y22" i="39"/>
  <c r="Y21" i="39"/>
  <c r="Y20" i="39"/>
  <c r="AH18" i="39"/>
  <c r="AH17" i="39"/>
  <c r="AH15" i="39"/>
  <c r="Y82" i="40"/>
  <c r="Y81" i="40"/>
  <c r="Y80" i="40"/>
  <c r="AH78" i="40"/>
  <c r="AH77" i="40"/>
  <c r="AH75" i="40"/>
  <c r="Y42" i="40"/>
  <c r="Y41" i="40"/>
  <c r="Y40" i="40"/>
  <c r="AH38" i="40"/>
  <c r="AH37" i="40"/>
  <c r="AH35" i="40"/>
  <c r="Y82" i="39"/>
  <c r="Y81" i="39"/>
  <c r="Y80" i="39"/>
  <c r="AH78" i="39"/>
  <c r="AH77" i="39"/>
  <c r="AH75" i="39"/>
  <c r="Y42" i="39"/>
  <c r="Y41" i="39"/>
  <c r="Y40" i="39"/>
  <c r="AH38" i="39"/>
  <c r="AH37" i="39"/>
  <c r="AH35" i="39"/>
  <c r="Y22" i="41" l="1"/>
  <c r="Y21" i="41"/>
  <c r="Y20" i="41"/>
  <c r="AH18" i="41"/>
  <c r="AH17" i="41"/>
  <c r="AH15" i="41"/>
  <c r="Y12" i="41"/>
  <c r="Y11" i="41"/>
  <c r="Y10" i="41"/>
  <c r="AH8" i="41"/>
  <c r="AH7" i="41"/>
  <c r="AH5" i="41"/>
  <c r="Y72" i="40"/>
  <c r="Y71" i="40"/>
  <c r="Y70" i="40"/>
  <c r="AH68" i="40"/>
  <c r="AH67" i="40"/>
  <c r="AH65" i="40"/>
  <c r="Y52" i="40"/>
  <c r="Y51" i="40"/>
  <c r="Y50" i="40"/>
  <c r="AH48" i="40"/>
  <c r="AH47" i="40"/>
  <c r="AH45" i="40"/>
  <c r="Y32" i="40"/>
  <c r="Y31" i="40"/>
  <c r="Y30" i="40"/>
  <c r="AH28" i="40"/>
  <c r="AH27" i="40"/>
  <c r="AH25" i="40"/>
  <c r="Y12" i="40"/>
  <c r="Y11" i="40"/>
  <c r="Y10" i="40"/>
  <c r="AH8" i="40"/>
  <c r="AH7" i="40"/>
  <c r="AH5" i="40"/>
  <c r="Y72" i="39"/>
  <c r="Y71" i="39"/>
  <c r="Y70" i="39"/>
  <c r="AH68" i="39"/>
  <c r="AH67" i="39"/>
  <c r="AH65" i="39"/>
  <c r="Y52" i="39"/>
  <c r="Y51" i="39"/>
  <c r="Y50" i="39"/>
  <c r="AH48" i="39"/>
  <c r="AH47" i="39"/>
  <c r="AH45" i="39"/>
  <c r="Y32" i="39"/>
  <c r="Y31" i="39"/>
  <c r="Y30" i="39"/>
  <c r="AH28" i="39"/>
  <c r="AH27" i="39"/>
  <c r="AH25" i="39"/>
  <c r="Y12" i="39"/>
  <c r="Y11" i="39"/>
  <c r="Y10" i="39"/>
  <c r="AH8" i="39"/>
  <c r="AH7" i="39"/>
  <c r="AH5" i="39"/>
  <c r="Y42" i="38"/>
  <c r="Y41" i="38"/>
  <c r="Y40" i="38"/>
  <c r="AH38" i="38"/>
  <c r="AH37" i="38"/>
  <c r="AH35" i="38"/>
  <c r="Y32" i="38"/>
  <c r="Y31" i="38"/>
  <c r="Y30" i="38"/>
  <c r="AH28" i="38"/>
  <c r="AH27" i="38"/>
  <c r="AH25" i="38"/>
  <c r="Y22" i="38"/>
  <c r="Y21" i="38"/>
  <c r="Y20" i="38"/>
  <c r="AH18" i="38"/>
  <c r="AH17" i="38"/>
  <c r="AH15" i="38"/>
  <c r="Y12" i="38"/>
  <c r="Y11" i="38"/>
  <c r="Y10" i="38"/>
  <c r="AH8" i="38"/>
  <c r="AH7" i="38"/>
  <c r="AH5" i="38"/>
  <c r="W19" i="37"/>
  <c r="K19" i="37"/>
  <c r="Y19" i="37" s="1"/>
  <c r="Y18" i="37"/>
  <c r="W18" i="37"/>
  <c r="K18" i="37"/>
  <c r="Y17" i="37"/>
  <c r="W17" i="37"/>
  <c r="K17" i="37"/>
  <c r="W15" i="37"/>
  <c r="K15" i="37"/>
  <c r="W14" i="37"/>
  <c r="K14" i="37"/>
  <c r="AH13" i="37"/>
  <c r="W10" i="37"/>
  <c r="K10" i="37"/>
  <c r="Y10" i="37" s="1"/>
  <c r="Y9" i="37"/>
  <c r="W9" i="37"/>
  <c r="K9" i="37"/>
  <c r="Y8" i="37"/>
  <c r="W8" i="37"/>
  <c r="K8" i="37"/>
  <c r="W6" i="37"/>
  <c r="K6" i="37"/>
  <c r="W5" i="37"/>
  <c r="K5" i="37"/>
  <c r="AH4" i="37"/>
  <c r="Y37" i="36"/>
  <c r="W37" i="36"/>
  <c r="K37" i="36"/>
  <c r="Y36" i="36"/>
  <c r="W36" i="36"/>
  <c r="K36" i="36"/>
  <c r="Y35" i="36"/>
  <c r="W35" i="36"/>
  <c r="K35" i="36"/>
  <c r="AH34" i="36"/>
  <c r="AH33" i="36"/>
  <c r="W33" i="36"/>
  <c r="K33" i="36"/>
  <c r="W32" i="36"/>
  <c r="K32" i="36"/>
  <c r="AH31" i="36"/>
  <c r="W19" i="36"/>
  <c r="K19" i="36"/>
  <c r="Y19" i="36" s="1"/>
  <c r="Y18" i="36"/>
  <c r="W18" i="36"/>
  <c r="K18" i="36"/>
  <c r="Y17" i="36"/>
  <c r="W17" i="36"/>
  <c r="K17" i="36"/>
  <c r="AH16" i="36"/>
  <c r="AH15" i="36"/>
  <c r="W15" i="36"/>
  <c r="K15" i="36"/>
  <c r="W14" i="36"/>
  <c r="K14" i="36"/>
  <c r="AH13" i="36"/>
  <c r="AH22" i="36"/>
  <c r="K23" i="36"/>
  <c r="W23" i="36"/>
  <c r="K24" i="36"/>
  <c r="W24" i="36"/>
  <c r="AH24" i="36"/>
  <c r="AH25" i="36"/>
  <c r="K26" i="36"/>
  <c r="W26" i="36"/>
  <c r="Y26" i="36"/>
  <c r="K27" i="36"/>
  <c r="W27" i="36"/>
  <c r="Y27" i="36"/>
  <c r="K28" i="36"/>
  <c r="Y28" i="36" s="1"/>
  <c r="W28" i="36"/>
  <c r="W10" i="36" l="1"/>
  <c r="K10" i="36"/>
  <c r="Y10" i="36" s="1"/>
  <c r="Y9" i="36"/>
  <c r="W9" i="36"/>
  <c r="K9" i="36"/>
  <c r="Y8" i="36"/>
  <c r="W8" i="36"/>
  <c r="K8" i="36"/>
  <c r="AH7" i="36"/>
  <c r="AH6" i="36"/>
  <c r="W6" i="36"/>
  <c r="K6" i="36"/>
  <c r="W5" i="36"/>
  <c r="K5" i="36"/>
  <c r="AH4" i="36"/>
  <c r="Y62" i="35"/>
  <c r="Y61" i="35"/>
  <c r="Y60" i="35"/>
  <c r="AH58" i="35"/>
  <c r="AH57" i="35"/>
  <c r="AH55" i="35"/>
  <c r="Y52" i="35"/>
  <c r="Y51" i="35"/>
  <c r="Y50" i="35"/>
  <c r="AH48" i="35"/>
  <c r="AH47" i="35"/>
  <c r="AH45" i="35"/>
  <c r="Y42" i="35"/>
  <c r="Y41" i="35"/>
  <c r="Y40" i="35"/>
  <c r="AH38" i="35"/>
  <c r="AH37" i="35"/>
  <c r="AH35" i="35"/>
  <c r="Y32" i="35"/>
  <c r="Y31" i="35"/>
  <c r="Y30" i="35"/>
  <c r="AH28" i="35"/>
  <c r="AH27" i="35"/>
  <c r="AH25" i="35"/>
  <c r="Y22" i="35"/>
  <c r="Y21" i="35"/>
  <c r="Y20" i="35"/>
  <c r="AH18" i="35"/>
  <c r="AH17" i="35"/>
  <c r="AH15" i="35"/>
  <c r="Y12" i="35"/>
  <c r="Y11" i="35"/>
  <c r="Y10" i="35"/>
  <c r="AH8" i="35"/>
  <c r="AH7" i="35"/>
  <c r="AH5" i="35"/>
  <c r="Y32" i="34"/>
  <c r="Y31" i="34"/>
  <c r="Y30" i="34"/>
  <c r="AH28" i="34"/>
  <c r="AH27" i="34"/>
  <c r="AH25" i="34"/>
  <c r="Y22" i="34"/>
  <c r="Y21" i="34"/>
  <c r="Y20" i="34"/>
  <c r="AH18" i="34"/>
  <c r="AH17" i="34"/>
  <c r="AH15" i="34"/>
  <c r="Y12" i="34"/>
  <c r="Y11" i="34"/>
  <c r="Y10" i="34"/>
  <c r="AH8" i="34"/>
  <c r="AH7" i="34"/>
  <c r="AH5" i="34"/>
  <c r="Y62" i="28"/>
  <c r="Y61" i="28"/>
  <c r="Y60" i="28"/>
  <c r="AH58" i="28"/>
  <c r="AH57" i="28"/>
  <c r="AH55" i="28"/>
  <c r="Y52" i="28"/>
  <c r="Y51" i="28"/>
  <c r="Y50" i="28"/>
  <c r="AH48" i="28"/>
  <c r="AH47" i="28"/>
  <c r="AH45" i="28"/>
  <c r="Y42" i="28"/>
  <c r="Y41" i="28"/>
  <c r="Y40" i="28"/>
  <c r="AH38" i="28"/>
  <c r="AH37" i="28"/>
  <c r="AH35" i="28"/>
  <c r="AH118" i="28"/>
  <c r="AH115" i="28"/>
  <c r="AH108" i="28"/>
  <c r="AH105" i="28"/>
  <c r="AH98" i="28"/>
  <c r="AH95" i="28"/>
  <c r="AH85" i="28"/>
  <c r="AH75" i="28"/>
  <c r="AH65" i="28"/>
  <c r="Y122" i="28"/>
  <c r="Y121" i="28"/>
  <c r="Y120" i="28"/>
  <c r="Y112" i="28"/>
  <c r="Y111" i="28"/>
  <c r="Y110" i="28"/>
  <c r="Y102" i="28"/>
  <c r="Y101" i="28"/>
  <c r="Y100" i="28"/>
  <c r="AH88" i="28" l="1"/>
  <c r="AH78" i="28"/>
  <c r="AH68" i="28"/>
  <c r="Y92" i="28" l="1"/>
  <c r="Y91" i="28"/>
  <c r="Y90" i="28"/>
  <c r="Y82" i="28"/>
  <c r="Y81" i="28"/>
  <c r="Y80" i="28"/>
  <c r="Y72" i="28"/>
  <c r="Y71" i="28"/>
  <c r="Y70" i="28"/>
  <c r="AH7" i="32" l="1"/>
  <c r="AH6" i="32"/>
  <c r="AH4" i="32"/>
  <c r="AH7" i="30"/>
  <c r="AH6" i="30"/>
  <c r="AH4" i="30"/>
  <c r="AH16" i="31"/>
  <c r="AH15" i="31"/>
  <c r="AH13" i="31"/>
  <c r="AH7" i="31"/>
  <c r="AH6" i="31"/>
  <c r="AH4" i="31"/>
  <c r="AH16" i="29"/>
  <c r="AH15" i="29"/>
  <c r="AH13" i="29"/>
  <c r="AH7" i="29"/>
  <c r="AH6" i="29"/>
  <c r="AH4" i="29"/>
  <c r="AH64" i="22"/>
  <c r="AH63" i="22"/>
  <c r="AH61" i="22"/>
  <c r="AH56" i="22"/>
  <c r="AH55" i="22"/>
  <c r="AH53" i="22"/>
  <c r="AH48" i="22"/>
  <c r="AH47" i="22"/>
  <c r="AH45" i="22"/>
  <c r="AH29" i="22"/>
  <c r="AH21" i="22"/>
  <c r="AH13" i="22"/>
  <c r="AH58" i="27"/>
  <c r="AH57" i="27"/>
  <c r="AH55" i="27"/>
  <c r="AH48" i="27"/>
  <c r="AH47" i="27"/>
  <c r="AH45" i="27"/>
  <c r="AH38" i="27"/>
  <c r="AH37" i="27"/>
  <c r="AH35" i="27"/>
  <c r="AH28" i="27"/>
  <c r="AH27" i="27"/>
  <c r="AH25" i="27"/>
  <c r="AH18" i="27"/>
  <c r="AH17" i="27"/>
  <c r="AH15" i="27"/>
  <c r="AH8" i="27"/>
  <c r="AH7" i="27"/>
  <c r="AH5" i="27"/>
  <c r="AH28" i="28"/>
  <c r="AH27" i="28"/>
  <c r="AH25" i="28"/>
  <c r="AH18" i="28"/>
  <c r="AH17" i="28"/>
  <c r="AH15" i="28"/>
  <c r="AH8" i="28"/>
  <c r="AH7" i="28"/>
  <c r="AH5" i="28"/>
  <c r="Y32" i="28"/>
  <c r="Y31" i="28"/>
  <c r="Y30" i="28"/>
  <c r="Y22" i="28"/>
  <c r="Y21" i="28"/>
  <c r="Y20" i="28"/>
  <c r="Y12" i="28"/>
  <c r="Y11" i="28"/>
  <c r="Y10" i="28"/>
  <c r="W4" i="21"/>
  <c r="AH4" i="21"/>
  <c r="AH13" i="21"/>
  <c r="W13" i="21"/>
  <c r="K13" i="21"/>
  <c r="AG16" i="26"/>
  <c r="AG13" i="26"/>
  <c r="AH24" i="26"/>
  <c r="AH23" i="26"/>
  <c r="AH21" i="26"/>
  <c r="AH5" i="26"/>
  <c r="AH5" i="22"/>
  <c r="AH40" i="22"/>
  <c r="AH39" i="22"/>
  <c r="AH37" i="22"/>
  <c r="AH4" i="33"/>
  <c r="W34" i="26"/>
  <c r="W33" i="26"/>
  <c r="W32" i="26"/>
  <c r="W30" i="26"/>
  <c r="W29" i="26"/>
  <c r="K34" i="26"/>
  <c r="K33" i="26"/>
  <c r="K32" i="26"/>
  <c r="K30" i="26"/>
  <c r="K29" i="26"/>
  <c r="W26" i="26"/>
  <c r="W25" i="26"/>
  <c r="W24" i="26"/>
  <c r="W22" i="26"/>
  <c r="W21" i="26"/>
  <c r="K26" i="26"/>
  <c r="K25" i="26"/>
  <c r="K24" i="26"/>
  <c r="K22" i="26"/>
  <c r="K21" i="26"/>
  <c r="W18" i="26"/>
  <c r="W17" i="26"/>
  <c r="W16" i="26"/>
  <c r="W14" i="26"/>
  <c r="W13" i="26"/>
  <c r="K18" i="26"/>
  <c r="K17" i="26"/>
  <c r="K16" i="26"/>
  <c r="K14" i="26"/>
  <c r="K13" i="26"/>
  <c r="K6" i="26"/>
  <c r="K8" i="26"/>
  <c r="K9" i="26"/>
  <c r="K10" i="26"/>
  <c r="K5" i="26"/>
  <c r="W10" i="33"/>
  <c r="W9" i="33"/>
  <c r="W8" i="33"/>
  <c r="W6" i="33"/>
  <c r="W5" i="33"/>
  <c r="K10" i="33"/>
  <c r="K9" i="33"/>
  <c r="K8" i="33"/>
  <c r="K6" i="33"/>
  <c r="K5" i="33"/>
  <c r="W10" i="32"/>
  <c r="W9" i="32"/>
  <c r="W8" i="32"/>
  <c r="W6" i="32"/>
  <c r="W5" i="32"/>
  <c r="K10" i="32"/>
  <c r="K9" i="32"/>
  <c r="K8" i="32"/>
  <c r="K6" i="32"/>
  <c r="K5" i="32"/>
  <c r="W19" i="31"/>
  <c r="K19" i="31"/>
  <c r="Y19" i="31" s="1"/>
  <c r="Y18" i="31"/>
  <c r="W18" i="31"/>
  <c r="K18" i="31"/>
  <c r="Y17" i="31"/>
  <c r="W17" i="31"/>
  <c r="K17" i="31"/>
  <c r="W15" i="31"/>
  <c r="K15" i="31"/>
  <c r="W14" i="31"/>
  <c r="K14" i="31"/>
  <c r="W10" i="31"/>
  <c r="W9" i="31"/>
  <c r="W8" i="31"/>
  <c r="W6" i="31"/>
  <c r="W5" i="31"/>
  <c r="K10" i="31"/>
  <c r="K9" i="31"/>
  <c r="K8" i="31"/>
  <c r="K6" i="31"/>
  <c r="K5" i="31"/>
  <c r="Y62" i="27" l="1"/>
  <c r="Y61" i="27"/>
  <c r="Y60" i="27"/>
  <c r="Y32" i="27"/>
  <c r="Y31" i="27"/>
  <c r="Y30" i="27"/>
  <c r="Y22" i="27"/>
  <c r="Y21" i="27"/>
  <c r="Y20" i="27"/>
  <c r="Y66" i="22"/>
  <c r="Y65" i="22"/>
  <c r="Y64" i="22"/>
  <c r="Y50" i="22"/>
  <c r="Y49" i="22"/>
  <c r="Y48" i="22"/>
  <c r="Y34" i="22"/>
  <c r="Y33" i="22"/>
  <c r="Y32" i="22"/>
  <c r="Y18" i="22"/>
  <c r="Y17" i="22"/>
  <c r="Y16" i="22"/>
  <c r="Y24" i="22"/>
  <c r="Y25" i="22"/>
  <c r="Y26" i="22"/>
  <c r="Y10" i="33"/>
  <c r="Y9" i="33"/>
  <c r="Y8" i="33"/>
  <c r="Y9" i="32"/>
  <c r="Y8" i="32"/>
  <c r="Y73" i="31"/>
  <c r="W73" i="31"/>
  <c r="Y72" i="31"/>
  <c r="W72" i="31"/>
  <c r="Y71" i="31"/>
  <c r="W71" i="31"/>
  <c r="AH70" i="31"/>
  <c r="AH69" i="31"/>
  <c r="W69" i="31"/>
  <c r="W68" i="31"/>
  <c r="K68" i="31"/>
  <c r="AH67" i="31"/>
  <c r="Y64" i="31"/>
  <c r="W64" i="31"/>
  <c r="Y63" i="31"/>
  <c r="W63" i="31"/>
  <c r="Y62" i="31"/>
  <c r="W62" i="31"/>
  <c r="AH61" i="31"/>
  <c r="AH60" i="31"/>
  <c r="W60" i="31"/>
  <c r="W59" i="31"/>
  <c r="K59" i="31"/>
  <c r="AH58" i="31"/>
  <c r="W55" i="31"/>
  <c r="K55" i="31"/>
  <c r="Y55" i="31" s="1"/>
  <c r="Y54" i="31"/>
  <c r="W54" i="31"/>
  <c r="K54" i="31"/>
  <c r="Y53" i="31"/>
  <c r="W53" i="31"/>
  <c r="K53" i="31"/>
  <c r="AH52" i="31"/>
  <c r="AH51" i="31"/>
  <c r="W51" i="31"/>
  <c r="K51" i="31"/>
  <c r="W50" i="31"/>
  <c r="K50" i="31"/>
  <c r="AH49" i="31"/>
  <c r="Y46" i="31"/>
  <c r="W46" i="31"/>
  <c r="K46" i="31"/>
  <c r="Y45" i="31"/>
  <c r="W45" i="31"/>
  <c r="K45" i="31"/>
  <c r="Y44" i="31"/>
  <c r="W44" i="31"/>
  <c r="K44" i="31"/>
  <c r="AH43" i="31"/>
  <c r="AH42" i="31"/>
  <c r="W42" i="31"/>
  <c r="K42" i="31"/>
  <c r="W41" i="31"/>
  <c r="K41" i="31"/>
  <c r="AH40" i="31"/>
  <c r="W37" i="31"/>
  <c r="K37" i="31"/>
  <c r="Y37" i="31" s="1"/>
  <c r="Y36" i="31"/>
  <c r="W36" i="31"/>
  <c r="K36" i="31"/>
  <c r="Y35" i="31"/>
  <c r="W35" i="31"/>
  <c r="K35" i="31"/>
  <c r="AH34" i="31"/>
  <c r="AH33" i="31"/>
  <c r="W33" i="31"/>
  <c r="K33" i="31"/>
  <c r="W32" i="31"/>
  <c r="K32" i="31"/>
  <c r="AH31" i="31"/>
  <c r="W28" i="31"/>
  <c r="K28" i="31"/>
  <c r="Y28" i="31" s="1"/>
  <c r="Y27" i="31"/>
  <c r="W27" i="31"/>
  <c r="K27" i="31"/>
  <c r="Y26" i="31"/>
  <c r="W26" i="31"/>
  <c r="K26" i="31"/>
  <c r="AH25" i="31"/>
  <c r="AH24" i="31"/>
  <c r="W24" i="31"/>
  <c r="K24" i="31"/>
  <c r="W23" i="31"/>
  <c r="K23" i="31"/>
  <c r="AH22" i="31"/>
  <c r="Y10" i="31"/>
  <c r="Y9" i="31"/>
  <c r="Y8" i="31"/>
  <c r="Y10" i="30"/>
  <c r="Y9" i="30"/>
  <c r="Y8" i="30"/>
  <c r="Y19" i="29"/>
  <c r="Y18" i="29"/>
  <c r="Y17" i="29"/>
  <c r="Y10" i="29"/>
  <c r="Y9" i="29"/>
  <c r="Y8" i="29"/>
  <c r="Y10" i="27"/>
  <c r="Y11" i="27"/>
  <c r="Y12" i="27"/>
  <c r="Y40" i="27"/>
  <c r="Y41" i="27"/>
  <c r="Y42" i="27"/>
  <c r="Y50" i="27"/>
  <c r="Y51" i="27"/>
  <c r="Y52" i="27"/>
  <c r="Y34" i="26"/>
  <c r="Y33" i="26"/>
  <c r="Y32" i="26"/>
  <c r="Y26" i="26"/>
  <c r="Y25" i="26"/>
  <c r="Y24" i="26"/>
  <c r="Y18" i="26"/>
  <c r="Y17" i="26"/>
  <c r="Y16" i="26"/>
  <c r="Y10" i="26"/>
  <c r="Y9" i="26"/>
  <c r="Y8" i="26"/>
  <c r="Y8" i="22"/>
  <c r="Y9" i="22"/>
  <c r="Y10" i="22"/>
  <c r="Y40" i="22"/>
  <c r="Y41" i="22"/>
  <c r="Y42" i="22"/>
  <c r="Y56" i="22"/>
  <c r="Y57" i="22"/>
  <c r="Y58" i="22"/>
  <c r="Y10" i="32" l="1"/>
  <c r="K14" i="21"/>
  <c r="Y73" i="21"/>
  <c r="W73" i="21"/>
  <c r="Y72" i="21"/>
  <c r="W72" i="21"/>
  <c r="Y71" i="21"/>
  <c r="W71" i="21"/>
  <c r="AH70" i="21"/>
  <c r="AH69" i="21"/>
  <c r="W69" i="21"/>
  <c r="W68" i="21"/>
  <c r="K68" i="21"/>
  <c r="AH67" i="21"/>
  <c r="Y64" i="21"/>
  <c r="W64" i="21"/>
  <c r="Y63" i="21"/>
  <c r="W63" i="21"/>
  <c r="Y62" i="21"/>
  <c r="W62" i="21"/>
  <c r="AH61" i="21"/>
  <c r="AH60" i="21"/>
  <c r="W60" i="21"/>
  <c r="W59" i="21"/>
  <c r="K59" i="21"/>
  <c r="AH58" i="21"/>
  <c r="W55" i="21"/>
  <c r="K55" i="21"/>
  <c r="Y55" i="21" s="1"/>
  <c r="Y54" i="21"/>
  <c r="W54" i="21"/>
  <c r="K54" i="21"/>
  <c r="Y53" i="21"/>
  <c r="W53" i="21"/>
  <c r="K53" i="21"/>
  <c r="AH52" i="21"/>
  <c r="AH51" i="21"/>
  <c r="W51" i="21"/>
  <c r="K51" i="21"/>
  <c r="W50" i="21"/>
  <c r="K50" i="21"/>
  <c r="AH49" i="21"/>
  <c r="Y46" i="21"/>
  <c r="W46" i="21"/>
  <c r="K46" i="21"/>
  <c r="Y45" i="21"/>
  <c r="W45" i="21"/>
  <c r="K45" i="21"/>
  <c r="Y44" i="21"/>
  <c r="W44" i="21"/>
  <c r="K44" i="21"/>
  <c r="AH43" i="21"/>
  <c r="AH42" i="21"/>
  <c r="W42" i="21"/>
  <c r="K42" i="21"/>
  <c r="W41" i="21"/>
  <c r="K41" i="21"/>
  <c r="AH40" i="21"/>
  <c r="W37" i="21"/>
  <c r="K37" i="21"/>
  <c r="Y37" i="21" s="1"/>
  <c r="Y36" i="21"/>
  <c r="W36" i="21"/>
  <c r="K36" i="21"/>
  <c r="Y35" i="21"/>
  <c r="W35" i="21"/>
  <c r="K35" i="21"/>
  <c r="AH34" i="21"/>
  <c r="AH33" i="21"/>
  <c r="W33" i="21"/>
  <c r="K33" i="21"/>
  <c r="W32" i="21"/>
  <c r="K32" i="21"/>
  <c r="AH31" i="21"/>
  <c r="W28" i="21"/>
  <c r="K28" i="21"/>
  <c r="Y28" i="21" s="1"/>
  <c r="Y27" i="21"/>
  <c r="W27" i="21"/>
  <c r="K27" i="21"/>
  <c r="Y26" i="21"/>
  <c r="W26" i="21"/>
  <c r="K26" i="21"/>
  <c r="AH25" i="21"/>
  <c r="AH24" i="21"/>
  <c r="W24" i="21"/>
  <c r="K24" i="21"/>
  <c r="W23" i="21"/>
  <c r="K23" i="21"/>
  <c r="AH22" i="21"/>
  <c r="W19" i="21"/>
  <c r="K19" i="21"/>
  <c r="Y19" i="21" s="1"/>
  <c r="Y18" i="21"/>
  <c r="W18" i="21"/>
  <c r="K18" i="21"/>
  <c r="Y17" i="21"/>
  <c r="W17" i="21"/>
  <c r="K17" i="21"/>
  <c r="W15" i="21"/>
  <c r="K15" i="21"/>
  <c r="W14" i="21"/>
  <c r="W10" i="21"/>
  <c r="K10" i="21"/>
  <c r="Y9" i="21"/>
  <c r="W9" i="21"/>
  <c r="K9" i="21"/>
  <c r="Y8" i="21"/>
  <c r="W8" i="21"/>
  <c r="K8" i="21"/>
  <c r="W6" i="21"/>
  <c r="K6" i="21"/>
  <c r="W5" i="21"/>
  <c r="K5" i="21"/>
  <c r="Y10" i="21" l="1"/>
  <c r="Y56" i="20"/>
  <c r="W56" i="20"/>
  <c r="Y55" i="20"/>
  <c r="W55" i="20"/>
  <c r="Y54" i="20"/>
  <c r="W54" i="20"/>
  <c r="AH53" i="20"/>
  <c r="AH52" i="20"/>
  <c r="W52" i="20"/>
  <c r="W51" i="20"/>
  <c r="K51" i="20"/>
  <c r="AH50" i="20"/>
  <c r="W50" i="20"/>
  <c r="K50" i="20"/>
  <c r="Y47" i="20"/>
  <c r="W47" i="20"/>
  <c r="Y46" i="20"/>
  <c r="W46" i="20"/>
  <c r="Y45" i="20"/>
  <c r="W45" i="20"/>
  <c r="AH44" i="20"/>
  <c r="AH43" i="20"/>
  <c r="W43" i="20"/>
  <c r="W42" i="20"/>
  <c r="K42" i="20"/>
  <c r="AH41" i="20"/>
  <c r="W41" i="20"/>
  <c r="K41" i="20"/>
  <c r="W38" i="20"/>
  <c r="K38" i="20"/>
  <c r="Y38" i="20" s="1"/>
  <c r="Y37" i="20"/>
  <c r="W37" i="20"/>
  <c r="K37" i="20"/>
  <c r="Y36" i="20"/>
  <c r="W36" i="20"/>
  <c r="K36" i="20"/>
  <c r="AH35" i="20"/>
  <c r="AH34" i="20"/>
  <c r="W34" i="20"/>
  <c r="K34" i="20"/>
  <c r="W33" i="20"/>
  <c r="K33" i="20"/>
  <c r="AH32" i="20"/>
  <c r="W32" i="20"/>
  <c r="K32" i="20"/>
  <c r="Y29" i="20"/>
  <c r="W29" i="20"/>
  <c r="K29" i="20"/>
  <c r="Y28" i="20"/>
  <c r="W28" i="20"/>
  <c r="K28" i="20"/>
  <c r="Y27" i="20"/>
  <c r="W27" i="20"/>
  <c r="K27" i="20"/>
  <c r="AH26" i="20"/>
  <c r="AH25" i="20"/>
  <c r="W25" i="20"/>
  <c r="K25" i="20"/>
  <c r="W24" i="20"/>
  <c r="K24" i="20"/>
  <c r="AH23" i="20"/>
  <c r="W23" i="20"/>
  <c r="K23" i="20"/>
  <c r="Y20" i="20"/>
  <c r="W20" i="20"/>
  <c r="K20" i="20"/>
  <c r="Y19" i="20"/>
  <c r="W19" i="20"/>
  <c r="K19" i="20"/>
  <c r="Y18" i="20"/>
  <c r="W18" i="20"/>
  <c r="K18" i="20"/>
  <c r="AH17" i="20"/>
  <c r="AH16" i="20"/>
  <c r="W16" i="20"/>
  <c r="K16" i="20"/>
  <c r="W15" i="20"/>
  <c r="K15" i="20"/>
  <c r="AH14" i="20"/>
  <c r="W14" i="20"/>
  <c r="K14" i="20"/>
  <c r="W11" i="20"/>
  <c r="K11" i="20"/>
  <c r="Y11" i="20" s="1"/>
  <c r="Y10" i="20"/>
  <c r="W10" i="20"/>
  <c r="K10" i="20"/>
  <c r="Y9" i="20"/>
  <c r="W9" i="20"/>
  <c r="K9" i="20"/>
  <c r="AH8" i="20"/>
  <c r="AH7" i="20"/>
  <c r="W7" i="20"/>
  <c r="K7" i="20"/>
  <c r="W6" i="20"/>
  <c r="K6" i="20"/>
  <c r="AH5" i="20"/>
  <c r="W5" i="20"/>
  <c r="K5" i="20"/>
  <c r="Y56" i="19"/>
  <c r="Y55" i="19"/>
  <c r="Y54" i="19"/>
  <c r="Y47" i="19"/>
  <c r="Y46" i="19"/>
  <c r="Y45" i="19"/>
  <c r="Y38" i="19"/>
  <c r="Y37" i="19"/>
  <c r="Y36" i="19"/>
  <c r="Y29" i="19"/>
  <c r="Y28" i="19"/>
  <c r="Y27" i="19"/>
  <c r="Y20" i="19"/>
  <c r="Y19" i="19"/>
  <c r="Y18" i="19"/>
  <c r="Y11" i="19"/>
  <c r="Y10" i="19"/>
  <c r="Y9" i="19"/>
  <c r="Y19" i="14"/>
  <c r="Y18" i="14"/>
  <c r="Y17" i="14"/>
  <c r="Y10" i="14"/>
  <c r="Y9" i="14"/>
  <c r="Y8" i="14"/>
  <c r="Y71" i="12"/>
  <c r="Y70" i="12"/>
  <c r="Y69" i="12"/>
  <c r="Y62" i="12"/>
  <c r="Y61" i="12"/>
  <c r="Y60" i="12"/>
  <c r="Y53" i="12"/>
  <c r="Y52" i="12"/>
  <c r="Y51" i="12"/>
  <c r="Y35" i="12"/>
  <c r="Y34" i="12"/>
  <c r="Y33" i="12"/>
  <c r="Y26" i="12"/>
  <c r="Y25" i="12"/>
  <c r="Y24" i="12"/>
  <c r="Y17" i="12"/>
  <c r="Y16" i="12"/>
  <c r="Y15" i="12"/>
  <c r="Y9" i="12"/>
  <c r="Y8" i="12"/>
  <c r="Y7" i="12"/>
  <c r="Y44" i="12" l="1"/>
  <c r="Y43" i="12"/>
  <c r="Y42" i="12"/>
  <c r="AH17" i="19"/>
  <c r="AH16" i="19"/>
  <c r="AH14" i="19"/>
  <c r="W56" i="19"/>
  <c r="W55" i="19"/>
  <c r="W54" i="19"/>
  <c r="W52" i="19"/>
  <c r="W51" i="19"/>
  <c r="K51" i="19"/>
  <c r="W50" i="19"/>
  <c r="K50" i="19"/>
  <c r="W41" i="19"/>
  <c r="K41" i="19"/>
  <c r="W38" i="19"/>
  <c r="K38" i="19"/>
  <c r="W37" i="19"/>
  <c r="K37" i="19"/>
  <c r="W36" i="19"/>
  <c r="K36" i="19"/>
  <c r="W34" i="19"/>
  <c r="K34" i="19"/>
  <c r="W33" i="19"/>
  <c r="K33" i="19"/>
  <c r="W32" i="19"/>
  <c r="K32" i="19"/>
  <c r="W11" i="19"/>
  <c r="W10" i="19"/>
  <c r="W9" i="19"/>
  <c r="W7" i="19"/>
  <c r="W6" i="19"/>
  <c r="W5" i="19"/>
  <c r="W29" i="19"/>
  <c r="W28" i="19"/>
  <c r="W27" i="19"/>
  <c r="W25" i="19"/>
  <c r="W24" i="19"/>
  <c r="W23" i="19"/>
  <c r="K23" i="19"/>
  <c r="W20" i="19"/>
  <c r="K20" i="19"/>
  <c r="W19" i="19"/>
  <c r="K19" i="19"/>
  <c r="W18" i="19"/>
  <c r="K18" i="19"/>
  <c r="W16" i="19"/>
  <c r="K16" i="19"/>
  <c r="W15" i="19"/>
  <c r="K15" i="19"/>
  <c r="W14" i="19"/>
  <c r="K14" i="19"/>
  <c r="K11" i="19"/>
  <c r="K10" i="19"/>
  <c r="K9" i="19"/>
  <c r="K7" i="19"/>
  <c r="K6" i="19"/>
  <c r="K5" i="19"/>
  <c r="AH53" i="19"/>
  <c r="AH52" i="19"/>
  <c r="AH50" i="19"/>
  <c r="W47" i="19"/>
  <c r="W46" i="19"/>
  <c r="W45" i="19"/>
  <c r="AH44" i="19"/>
  <c r="AH43" i="19"/>
  <c r="W43" i="19"/>
  <c r="W42" i="19"/>
  <c r="K42" i="19"/>
  <c r="AH41" i="19"/>
  <c r="AH35" i="19"/>
  <c r="AH34" i="19"/>
  <c r="AH32" i="19"/>
  <c r="K29" i="19"/>
  <c r="K28" i="19"/>
  <c r="K27" i="19"/>
  <c r="AH26" i="19"/>
  <c r="AH25" i="19"/>
  <c r="K25" i="19"/>
  <c r="K24" i="19"/>
  <c r="AH23" i="19"/>
  <c r="AH8" i="19"/>
  <c r="AH7" i="19"/>
  <c r="AH5" i="19"/>
  <c r="W19" i="14"/>
  <c r="K19" i="14"/>
  <c r="W18" i="14"/>
  <c r="K18" i="14"/>
  <c r="W17" i="14"/>
  <c r="K17" i="14"/>
  <c r="AH16" i="14"/>
  <c r="AH15" i="14"/>
  <c r="W15" i="14"/>
  <c r="K15" i="14"/>
  <c r="W14" i="14"/>
  <c r="K14" i="14"/>
  <c r="AH13" i="14"/>
  <c r="W10" i="14"/>
  <c r="K10" i="14"/>
  <c r="W9" i="14"/>
  <c r="K9" i="14"/>
  <c r="W8" i="14"/>
  <c r="K8" i="14"/>
  <c r="AH7" i="14"/>
  <c r="AH6" i="14"/>
  <c r="W6" i="14"/>
  <c r="K6" i="14"/>
  <c r="W5" i="14"/>
  <c r="K5" i="14"/>
  <c r="AH4" i="14"/>
  <c r="AH68" i="12"/>
  <c r="AH67" i="12"/>
  <c r="AH65" i="12"/>
  <c r="AH58" i="12"/>
  <c r="AH59" i="12"/>
  <c r="AH56" i="12"/>
  <c r="AH50" i="12"/>
  <c r="AH49" i="12"/>
  <c r="AH47" i="12"/>
  <c r="AH40" i="12"/>
  <c r="AH41" i="12"/>
  <c r="AH38" i="12"/>
  <c r="AH32" i="12"/>
  <c r="AH31" i="12"/>
  <c r="AH29" i="12"/>
  <c r="AH22" i="12"/>
  <c r="AH23" i="12"/>
  <c r="AH20" i="12"/>
  <c r="AH12" i="12"/>
  <c r="AH4" i="12"/>
  <c r="W71" i="12"/>
  <c r="W70" i="12"/>
  <c r="W69" i="12"/>
  <c r="W67" i="12"/>
  <c r="W66" i="12"/>
  <c r="W58" i="12"/>
  <c r="W60" i="12"/>
  <c r="W61" i="12"/>
  <c r="W62" i="12"/>
  <c r="W57" i="12"/>
  <c r="W53" i="12"/>
  <c r="W52" i="12"/>
  <c r="W51" i="12"/>
  <c r="W49" i="12"/>
  <c r="W48" i="12"/>
  <c r="W40" i="12"/>
  <c r="W42" i="12"/>
  <c r="W43" i="12"/>
  <c r="W44" i="12"/>
  <c r="W39" i="12"/>
  <c r="W35" i="12"/>
  <c r="W34" i="12"/>
  <c r="W33" i="12"/>
  <c r="W31" i="12"/>
  <c r="W30" i="12"/>
  <c r="W22" i="12"/>
  <c r="W24" i="12"/>
  <c r="W25" i="12"/>
  <c r="W26" i="12"/>
  <c r="W21" i="12"/>
  <c r="W17" i="12"/>
  <c r="W16" i="12"/>
  <c r="W15" i="12"/>
  <c r="W13" i="12"/>
  <c r="W12" i="12"/>
  <c r="W5" i="12"/>
  <c r="W7" i="12"/>
  <c r="W8" i="12"/>
  <c r="W9" i="12"/>
  <c r="W4" i="12"/>
  <c r="K17" i="12"/>
  <c r="K16" i="12"/>
  <c r="K15" i="12"/>
  <c r="K13" i="12"/>
  <c r="K12" i="12"/>
  <c r="K66" i="12"/>
  <c r="K57" i="12"/>
  <c r="K53" i="12"/>
  <c r="K52" i="12"/>
  <c r="K51" i="12"/>
  <c r="K49" i="12"/>
  <c r="K48" i="12"/>
  <c r="K40" i="12"/>
  <c r="K42" i="12"/>
  <c r="K43" i="12"/>
  <c r="K44" i="12"/>
  <c r="K39" i="12"/>
  <c r="K35" i="12"/>
  <c r="K34" i="12"/>
  <c r="K33" i="12"/>
  <c r="K31" i="12"/>
  <c r="K30" i="12"/>
  <c r="K22" i="12"/>
  <c r="K24" i="12"/>
  <c r="K25" i="12"/>
  <c r="K26" i="12"/>
  <c r="K21" i="12"/>
  <c r="K5" i="12"/>
  <c r="K7" i="12"/>
  <c r="K8" i="12"/>
  <c r="K9" i="12"/>
  <c r="K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Uwe Sprengart (70K8542)</author>
  </authors>
  <commentList>
    <comment ref="Y3" authorId="0" shapeId="0" xr:uid="{ED41F57B-1D1A-461A-8BCA-267247D1A8EA}">
      <text>
        <r>
          <rPr>
            <b/>
            <sz val="9"/>
            <color indexed="81"/>
            <rFont val="Segoe UI"/>
            <family val="2"/>
          </rPr>
          <t>Uwe Sprengart (70K8542):
Spaltenwerte geändert am 26.04. gem. VDI 4650 mit Ersatzwerten aus EN 14825</t>
        </r>
      </text>
    </comment>
    <comment ref="AB26" authorId="0" shapeId="0" xr:uid="{4B0C72B0-0D93-4DFD-BD72-CB036444D18C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  <comment ref="AB35" authorId="0" shapeId="0" xr:uid="{57652CA2-7E22-4DD4-9214-4D47E538B00A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  <comment ref="AB44" authorId="0" shapeId="0" xr:uid="{C6D4CEA6-E94F-4F78-89CC-0C51147D0BEC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  <comment ref="AB53" authorId="0" shapeId="0" xr:uid="{27693557-0A68-49C2-A990-FD4D1E277173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Uwe Sprengart (70K8542)</author>
  </authors>
  <commentList>
    <comment ref="Y3" authorId="0" shapeId="0" xr:uid="{357B521C-6779-4454-8F6B-FBF330DD340E}">
      <text>
        <r>
          <rPr>
            <b/>
            <sz val="9"/>
            <color indexed="81"/>
            <rFont val="Segoe UI"/>
            <family val="2"/>
          </rPr>
          <t>Uwe Sprengart (70K8542):
Spaltenwerte geändert am 26.04. gem. VDI 4650 mit Ersatzwerten aus EN 14825</t>
        </r>
      </text>
    </comment>
    <comment ref="S57" authorId="0" shapeId="0" xr:uid="{A1F9F6F3-AE75-4166-9BDE-EC78D6433FD9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Korrigiert am 20.04.23</t>
        </r>
      </text>
    </comment>
    <comment ref="S66" authorId="0" shapeId="0" xr:uid="{A639733D-4FB6-4D8F-AAEC-1816BE099CDC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Korrigiert am 20.04.23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Uwe Sprengart (70K8542)</author>
  </authors>
  <commentList>
    <comment ref="Y3" authorId="0" shapeId="0" xr:uid="{D04B0DAF-5B8F-4622-B97D-1890A6512D66}">
      <text>
        <r>
          <rPr>
            <b/>
            <sz val="9"/>
            <color indexed="81"/>
            <rFont val="Segoe UI"/>
            <family val="2"/>
          </rPr>
          <t>Uwe Sprengart (70K8542):
Spaltenwerte geändert am 26.04. gem. VDI 4650 mit Ersatzwerten aus EN 14825</t>
        </r>
      </text>
    </comment>
    <comment ref="AB26" authorId="0" shapeId="0" xr:uid="{4F81DAD6-012C-4D98-B9DA-23BD9530B9C4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  <comment ref="AB35" authorId="0" shapeId="0" xr:uid="{0ACCBAAB-65FB-49BC-A472-2E73FA9D60CC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  <comment ref="AB44" authorId="0" shapeId="0" xr:uid="{EBB887B0-E778-4E5C-BD89-389B592867B1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  <comment ref="AB53" authorId="0" shapeId="0" xr:uid="{9361BB76-541A-47AE-ADCC-45CC330CF7E5}">
      <text>
        <r>
          <rPr>
            <b/>
            <sz val="9"/>
            <color indexed="81"/>
            <rFont val="Segoe UI"/>
            <family val="2"/>
          </rPr>
          <t>Uwe Sprengart (70K8542):</t>
        </r>
        <r>
          <rPr>
            <sz val="9"/>
            <color indexed="81"/>
            <rFont val="Segoe UI"/>
            <family val="2"/>
          </rPr>
          <t xml:space="preserve">
Hinzugefügt am 27.06.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tc={96EF11D7-5D45-4A2C-92F7-DBAA6423A698}</author>
  </authors>
  <commentList>
    <comment ref="AE3" authorId="0" shapeId="0" xr:uid="{96EF11D7-5D45-4A2C-92F7-DBAA6423A69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tc={4F69A53D-ED05-4F40-9204-E7FCF33AC0DB}</author>
  </authors>
  <commentList>
    <comment ref="AE3" authorId="0" shapeId="0" xr:uid="{4F69A53D-ED05-4F40-9204-E7FCF33AC0D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tc={F80FDD1B-A37E-44F9-918C-FD5716AAEE6C}</author>
  </authors>
  <commentList>
    <comment ref="AE3" authorId="0" shapeId="0" xr:uid="{F80FDD1B-A37E-44F9-918C-FD5716AAEE6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tc={E11D3080-9888-4815-A42F-E44DE401F9A2}</author>
    <author>tc={0D7C7AA0-76B6-4C20-AA81-79BAA51B1985}</author>
    <author>tc={F9D8C69C-E4A4-40D3-9868-06B29BCE6B4B}</author>
    <author>tc={FD6FC278-6204-4E84-8794-77490881566C}</author>
    <author>tc={4A3C9D70-C60B-4348-9431-189F5A76CC70}</author>
    <author>tc={377FF436-BA28-4D52-836C-9696962DD416}</author>
    <author>tc={F468A794-3A8F-49F8-898C-AF3CE4D62EEC}</author>
    <author>tc={09D34EE1-BB62-4957-A8C4-BC02C51C5EBD}</author>
    <author>tc={9501663D-FA6D-4F76-955F-8A467D881EB7}</author>
    <author>tc={590616B5-9C36-469B-88DB-07B1A1198F90}</author>
    <author>tc={C1792891-D41C-4861-8FCC-607273FE3B15}</author>
    <author>tc={D8B7A870-19E6-4557-8081-634F7A752DE7}</author>
    <author>tc={36B0F97F-C41F-41D5-B9D5-8E5EB423A4EB}</author>
  </authors>
  <commentList>
    <comment ref="AE3" authorId="0" shapeId="0" xr:uid="{E11D3080-9888-4815-A42F-E44DE401F9A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  <comment ref="X5" authorId="1" shapeId="0" xr:uid="{0D7C7AA0-76B6-4C20-AA81-79BAA51B19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15" authorId="2" shapeId="0" xr:uid="{F9D8C69C-E4A4-40D3-9868-06B29BCE6B4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25" authorId="3" shapeId="0" xr:uid="{FD6FC278-6204-4E84-8794-77490881566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35" authorId="4" shapeId="0" xr:uid="{4A3C9D70-C60B-4348-9431-189F5A76CC7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45" authorId="5" shapeId="0" xr:uid="{377FF436-BA28-4D52-836C-9696962DD41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55" authorId="6" shapeId="0" xr:uid="{F468A794-3A8F-49F8-898C-AF3CE4D62EE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65" authorId="7" shapeId="0" xr:uid="{09D34EE1-BB62-4957-A8C4-BC02C51C5EB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75" authorId="8" shapeId="0" xr:uid="{9501663D-FA6D-4F76-955F-8A467D881E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85" authorId="9" shapeId="0" xr:uid="{590616B5-9C36-469B-88DB-07B1A1198F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95" authorId="10" shapeId="0" xr:uid="{C1792891-D41C-4861-8FCC-607273FE3B1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105" authorId="11" shapeId="0" xr:uid="{D8B7A870-19E6-4557-8081-634F7A752DE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115" authorId="12" shapeId="0" xr:uid="{36B0F97F-C41F-41D5-B9D5-8E5EB423A4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tc={5BCAE84D-846A-4664-96AA-2D352A4AA082}</author>
  </authors>
  <commentList>
    <comment ref="AE3" authorId="0" shapeId="0" xr:uid="{5BCAE84D-846A-4664-96AA-2D352A4AA0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tc={090E86A7-2834-463F-81B8-0E525291439F}</author>
  </authors>
  <commentList>
    <comment ref="AE3" authorId="0" shapeId="0" xr:uid="{090E86A7-2834-463F-81B8-0E525291439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tc={52ABCD37-98FC-4ED9-8382-F9D6660513DA}</author>
    <author>tc={6CA0A4D0-56F3-4851-AAF6-5D11F9D4E1DF}</author>
    <author>tc={153CDC36-9E52-4C2A-9F14-12909F62CCF0}</author>
    <author>tc={F3A2AFBE-7D6A-47F1-BE9F-0A38F77048BD}</author>
    <author>tc={86F4D1D6-29D5-420C-B067-BDA0C067E186}</author>
  </authors>
  <commentList>
    <comment ref="AE3" authorId="0" shapeId="0" xr:uid="{52ABCD37-98FC-4ED9-8382-F9D6660513D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  <comment ref="X5" authorId="1" shapeId="0" xr:uid="{6CA0A4D0-56F3-4851-AAF6-5D11F9D4E1D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15" authorId="2" shapeId="0" xr:uid="{153CDC36-9E52-4C2A-9F14-12909F62CCF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25" authorId="3" shapeId="0" xr:uid="{F3A2AFBE-7D6A-47F1-BE9F-0A38F77048B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  <comment ref="X35" authorId="4" shapeId="0" xr:uid="{86F4D1D6-29D5-420C-B067-BDA0C067E18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Stand-alone units do not have a back-up heater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tc={9D7B8BB2-1E31-464F-89E8-D0C8DA1028B5}</author>
  </authors>
  <commentList>
    <comment ref="AE3" authorId="0" shapeId="0" xr:uid="{9D7B8BB2-1E31-464F-89E8-D0C8DA1028B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tc={47DC3325-4899-41E2-9745-43AF36EB7C6C}</author>
  </authors>
  <commentList>
    <comment ref="AE3" authorId="0" shapeId="0" xr:uid="{47DC3325-4899-41E2-9745-43AF36EB7C6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tc={85BB9C2E-C45F-4613-8E0D-F6209ADBBEAA}</author>
  </authors>
  <commentList>
    <comment ref="AE3" authorId="0" shapeId="0" xr:uid="{85BB9C2E-C45F-4613-8E0D-F6209ADBBEA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Uwe Sprengart (70K8542)</author>
  </authors>
  <commentList>
    <comment ref="Y3" authorId="0" shapeId="0" xr:uid="{FF1E4206-081E-45BC-96CE-B3B5B4F22E5E}">
      <text>
        <r>
          <rPr>
            <b/>
            <sz val="9"/>
            <color indexed="81"/>
            <rFont val="Segoe UI"/>
            <family val="2"/>
          </rPr>
          <t>Uwe Sprengart (70K8542):
Spaltenwerte geändert am 26.04. gem. VDI 4650 mit Ersatzwerten aus EN 14825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tc={403E8396-D34B-4AF2-A9AD-4E5A3C2AC731}</author>
  </authors>
  <commentList>
    <comment ref="AE3" authorId="0" shapeId="0" xr:uid="{403E8396-D34B-4AF2-A9AD-4E5A3C2AC73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tc={F6DBB851-8B37-4A37-9746-0C27F46C52DC}</author>
  </authors>
  <commentList>
    <comment ref="AE3" authorId="0" shapeId="0" xr:uid="{F6DBB851-8B37-4A37-9746-0C27F46C52D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tc={88D7E71A-44FF-4298-8232-A7F437D2D6E0}</author>
  </authors>
  <commentList>
    <comment ref="AE3" authorId="0" shapeId="0" xr:uid="{88D7E71A-44FF-4298-8232-A7F437D2D6E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tc={521C6D41-504B-48A5-899B-83558A966007}</author>
  </authors>
  <commentList>
    <comment ref="AE3" authorId="0" shapeId="0" xr:uid="{521C6D41-504B-48A5-899B-83558A96600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tc={45483FCD-F0FC-449C-920E-521A57863590}</author>
  </authors>
  <commentList>
    <comment ref="AE3" authorId="0" shapeId="0" xr:uid="{45483FCD-F0FC-449C-920E-521A578635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tc={F4996134-F9D4-4C2D-A924-ED072994AF68}</author>
  </authors>
  <commentList>
    <comment ref="AE3" authorId="0" shapeId="0" xr:uid="{F4996134-F9D4-4C2D-A924-ED072994AF6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tc={2FA57B6D-0B4D-4524-815B-A4548005759A}</author>
  </authors>
  <commentList>
    <comment ref="AE3" authorId="0" shapeId="0" xr:uid="{2FA57B6D-0B4D-4524-815B-A4548005759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tc={CE9328A7-F8CC-4830-B4AC-FCFC1765725F}</author>
  </authors>
  <commentList>
    <comment ref="AE3" authorId="0" shapeId="0" xr:uid="{CE9328A7-F8CC-4830-B4AC-FCFC1765725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tc={1A2ADED4-CCDF-4C1B-992A-086BEC100C87}</author>
  </authors>
  <commentList>
    <comment ref="AE3" authorId="0" shapeId="0" xr:uid="{1A2ADED4-CCDF-4C1B-992A-086BEC100C8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tc={BC4F618F-F8EC-43C5-BFC3-11B58D9FCDE4}</author>
  </authors>
  <commentList>
    <comment ref="AE3" authorId="0" shapeId="0" xr:uid="{BC4F618F-F8EC-43C5-BFC3-11B58D9FCDE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tc={A83D0A4B-E569-42E9-BF04-FA67523BC59D}</author>
  </authors>
  <commentList>
    <comment ref="AE3" authorId="0" shapeId="0" xr:uid="{A83D0A4B-E569-42E9-BF04-FA67523BC59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Water temperature (OD temp = 35)</t>
      </text>
    </comment>
  </commentList>
</comments>
</file>

<file path=xl/sharedStrings.xml><?xml version="1.0" encoding="utf-8"?>
<sst xmlns="http://schemas.openxmlformats.org/spreadsheetml/2006/main" count="3361" uniqueCount="216">
  <si>
    <t>WH-ADC0309K3E5</t>
  </si>
  <si>
    <t>WH-ADC0309K3E5AN</t>
  </si>
  <si>
    <t>WH-ADC0309K3E5B</t>
  </si>
  <si>
    <t>WH-ADC0309K3E5UK</t>
  </si>
  <si>
    <t>WH-ADC0309K6E5</t>
  </si>
  <si>
    <t>WH-ADC0309K6E5AN</t>
  </si>
  <si>
    <t>WH-ADC0912K6E5</t>
  </si>
  <si>
    <t>WH-ADC0912K6E5AN</t>
  </si>
  <si>
    <t>WH-ADC0912K6E5UK</t>
  </si>
  <si>
    <t>Indoor unit</t>
  </si>
  <si>
    <t>Outdoor unit</t>
  </si>
  <si>
    <t>WH-UDZ03KE5</t>
  </si>
  <si>
    <t>WH-UDZ05KE5</t>
  </si>
  <si>
    <t>WH-UDZ07KE5</t>
  </si>
  <si>
    <t>WH-UDZ09KE5</t>
  </si>
  <si>
    <t>WH-UXZ09KE5</t>
  </si>
  <si>
    <t>WH-UXZ12KE5</t>
  </si>
  <si>
    <t>Data according to 14511, power controlled</t>
  </si>
  <si>
    <t>35°C</t>
  </si>
  <si>
    <t>55°C</t>
  </si>
  <si>
    <t xml:space="preserve">Minimum outdoor temperature </t>
  </si>
  <si>
    <t>Min. capacity</t>
  </si>
  <si>
    <t>Average capacity</t>
  </si>
  <si>
    <t>Max. capacity</t>
  </si>
  <si>
    <t>Input power</t>
  </si>
  <si>
    <t>Min.  COP</t>
  </si>
  <si>
    <t>Average COP</t>
  </si>
  <si>
    <t>Max. COP</t>
  </si>
  <si>
    <t>Max. available temperature</t>
  </si>
  <si>
    <t>Capacity of backup heater</t>
  </si>
  <si>
    <t>Capacity (ERP)
@ 35 °C</t>
  </si>
  <si>
    <t>COP (ERP)
@ 35 °C</t>
  </si>
  <si>
    <t>Capacity (ERP)
@ 55 °C</t>
  </si>
  <si>
    <t>COP (ERP)
@ 55 °C</t>
  </si>
  <si>
    <t>Cooling capacity (kW)</t>
  </si>
  <si>
    <t>Input power
(kW)</t>
  </si>
  <si>
    <t>EER</t>
  </si>
  <si>
    <t>7 °C</t>
  </si>
  <si>
    <t>14 °C</t>
  </si>
  <si>
    <t xml:space="preserve"> </t>
  </si>
  <si>
    <t>18 °C</t>
  </si>
  <si>
    <t>Indoor unit models with equivalent data:</t>
  </si>
  <si>
    <t xml:space="preserve">WH-ADC0509L3E5 </t>
  </si>
  <si>
    <t>WH-WDG05LE5</t>
  </si>
  <si>
    <t xml:space="preserve">WH-ADC0509L6E5 </t>
  </si>
  <si>
    <t>WH-WDG07LE5</t>
  </si>
  <si>
    <t>WH-WDG09LE5</t>
  </si>
  <si>
    <t>WH-ADC0509L6E5AN</t>
  </si>
  <si>
    <t>WH-ADC0509L3E5AN</t>
  </si>
  <si>
    <t>WH-ADC0509L3E5B</t>
  </si>
  <si>
    <t>WH-ADC0509L3E5UK</t>
  </si>
  <si>
    <t>WH-ADC0509L6E5</t>
  </si>
  <si>
    <t>WH-ADC0509L3E5</t>
  </si>
  <si>
    <t>COPs as per VDI 4650 (BAFA)</t>
  </si>
  <si>
    <t xml:space="preserve">WH-SDC0509L3E5 </t>
  </si>
  <si>
    <t>add. column</t>
  </si>
  <si>
    <t>WH-SDC0509L6E5</t>
  </si>
  <si>
    <t>WH-SDC0509L3E5</t>
  </si>
  <si>
    <t>WH-SDC0309K6E5</t>
  </si>
  <si>
    <t>WH-SDC0309K3E5</t>
  </si>
  <si>
    <t>add. line</t>
  </si>
  <si>
    <t>-</t>
  </si>
  <si>
    <t>WH-ADC0309J3E5</t>
  </si>
  <si>
    <t xml:space="preserve">WH-UD07JE5 </t>
  </si>
  <si>
    <t xml:space="preserve">WH-UD05JE5 </t>
  </si>
  <si>
    <t xml:space="preserve">WH-UD03JE5 </t>
  </si>
  <si>
    <t>WH-WXG16ME8</t>
  </si>
  <si>
    <t>WH-WXG12ME8</t>
  </si>
  <si>
    <t>WH-WXG09ME8</t>
  </si>
  <si>
    <t>WH-ADC0309J3E5B</t>
  </si>
  <si>
    <t>WH-ADC0309J3E5C</t>
  </si>
  <si>
    <t xml:space="preserve">WH-UD09JE5-1 </t>
  </si>
  <si>
    <t>WH-SXC09K3E5</t>
  </si>
  <si>
    <t xml:space="preserve">WH-UXZ09KE5 </t>
  </si>
  <si>
    <t>WH-SXC09K6E5</t>
  </si>
  <si>
    <t>WH-SXC12K6E5</t>
  </si>
  <si>
    <t xml:space="preserve">WH-UXZ12KE5 </t>
  </si>
  <si>
    <t xml:space="preserve">WH-SXC09K3E8 </t>
  </si>
  <si>
    <t xml:space="preserve">WH-UXZ09KE8 </t>
  </si>
  <si>
    <t xml:space="preserve">WH-SXC09K9E8 </t>
  </si>
  <si>
    <t xml:space="preserve">WH-SXC12K9E8 </t>
  </si>
  <si>
    <t xml:space="preserve">WH-UXZ12KE8 </t>
  </si>
  <si>
    <t>WH-SXC16K9E8</t>
  </si>
  <si>
    <t xml:space="preserve">WH-UXZ16KE8 </t>
  </si>
  <si>
    <t>WH-SXC09K3E5 + WH-UXZ09KE5</t>
  </si>
  <si>
    <t>WH-SXC09K3E8 + WH-UXZ09KE8</t>
  </si>
  <si>
    <t>WH-ADC0309J3E5 + WH-UD03JE5</t>
  </si>
  <si>
    <t>WH-ADC0309J3E5B + WH-UD03JE5</t>
  </si>
  <si>
    <t>WH-ADC0309J3E5 + WH-UD05JE5</t>
  </si>
  <si>
    <t>WH-ADC0309J3E5B + WH-UD05JE5</t>
  </si>
  <si>
    <t>WH-ADC0309J3E5 + WH-UD07JE5</t>
  </si>
  <si>
    <t>WH-ADC0309J3E5B + WH-UD07JE5</t>
  </si>
  <si>
    <t>WH-ADC0309J3E5 + WH-UD09JE5-1</t>
  </si>
  <si>
    <t>WH-ADC0309J3E5B + WH-UD09JE5-1</t>
  </si>
  <si>
    <t>WH-ADC0316M9E82</t>
  </si>
  <si>
    <t>WH-ADC0316M9E8AN2</t>
  </si>
  <si>
    <t>WH-ADC0316M9E82 + WH-WXG09ME8</t>
  </si>
  <si>
    <t>WH-ADC0316M9E8AN2 + WH-WXG09ME8</t>
  </si>
  <si>
    <t>WH-ADC0316M9E82 + WH-WXG12ME8</t>
  </si>
  <si>
    <t>WH-ADC0316M9E8AN2 + WH-WXG12ME8</t>
  </si>
  <si>
    <t>WH-ADC0316M9E82 + WH-WXG16ME8</t>
  </si>
  <si>
    <t>WH-ADC0316M9E8AN2 + WH-WXG16ME8</t>
  </si>
  <si>
    <t>WH-WXG30ME8</t>
  </si>
  <si>
    <t>WH-WXG25ME8</t>
  </si>
  <si>
    <t>WH-WXG20ME8</t>
  </si>
  <si>
    <t>WH-WXG20ME8 + WH-CME8L</t>
  </si>
  <si>
    <t>WH-WXG25ME8 + WH-CME8L</t>
  </si>
  <si>
    <t>WH-WXG30ME8 + WH-CME8L</t>
  </si>
  <si>
    <t>WH-WXG09ME8 + WH-CME8</t>
  </si>
  <si>
    <t>WH-WXG12ME8 + WH-CME8</t>
  </si>
  <si>
    <t>WH-WXG16ME8 + WH-CME8</t>
  </si>
  <si>
    <t>WH-SDC0316M9E8</t>
  </si>
  <si>
    <t>WH-ADC0316M9E83</t>
  </si>
  <si>
    <t>WH-ADC0316M9E83 + WH-WXG09ME8</t>
  </si>
  <si>
    <t>WH-ADC0316M9E83 + WH-WXG12ME8</t>
  </si>
  <si>
    <t>WH-ADC0316M9E83 + WH-WXG16ME8</t>
  </si>
  <si>
    <t>WH-ADC0316M9E8AN3</t>
  </si>
  <si>
    <t>WH-ADC0316M9E8AN3 + WH-WXG09ME8</t>
  </si>
  <si>
    <t>WH-ADC0316M9E8AN3 + WH-WXG12ME8</t>
  </si>
  <si>
    <t>WH-ADC0316M9E8AN3 + WH-WXG16ME8</t>
  </si>
  <si>
    <t>WH-ADC0912K9E83</t>
  </si>
  <si>
    <t>WH-ADC0912K9E8AN3</t>
  </si>
  <si>
    <t>WH-UXZ09KE8</t>
  </si>
  <si>
    <t>WH-UXZ12KE8</t>
  </si>
  <si>
    <t>WH-ADC0912K9E83 + WH-UXZ09KE8</t>
  </si>
  <si>
    <t>WH-ADC0912K9E83AN + WH-UXZ09KE8</t>
  </si>
  <si>
    <t>WH-ADC0912K9E83 + WH-UXZ12KE8</t>
  </si>
  <si>
    <t>WH-ADC0912K9E83AN + WH-UXZ12KE8</t>
  </si>
  <si>
    <t>WH-ADC16K9E83</t>
  </si>
  <si>
    <t>WH-ADC16K9E8AN3</t>
  </si>
  <si>
    <t>WH-ADC16K9E8AN3 + WH-UXZ16KE8</t>
  </si>
  <si>
    <t>WH-ADC16K9E83 + WH-UXZ16KE8</t>
  </si>
  <si>
    <t>WH-WXG09ME5</t>
  </si>
  <si>
    <t>WH-WXG12ME5</t>
  </si>
  <si>
    <t>WH-WXG09ME5 + WH-CME5</t>
  </si>
  <si>
    <t>WH-WXG12ME5 + WH-CME5</t>
  </si>
  <si>
    <t>WH-ADC0916M3E52</t>
  </si>
  <si>
    <t>WH-ADC0916M3E5AN2</t>
  </si>
  <si>
    <t xml:space="preserve">WH-ADC0916M3E53 </t>
  </si>
  <si>
    <t xml:space="preserve">WH-ADC0916M3E5AN3 </t>
  </si>
  <si>
    <t>WH-SDC0916M3E5</t>
  </si>
  <si>
    <t>WH-ADC0916M3E5UK2</t>
  </si>
  <si>
    <t xml:space="preserve">WH-ADC0916M3E5UK3 </t>
  </si>
  <si>
    <t>Models with equivalent data:</t>
  </si>
  <si>
    <t>WH-ADC0916M6E52</t>
  </si>
  <si>
    <t xml:space="preserve">WH-ADC0916M6E53 </t>
  </si>
  <si>
    <t>WH-ADC0509L3E51</t>
  </si>
  <si>
    <t>WH-ADC0509L3E5UK1</t>
  </si>
  <si>
    <t xml:space="preserve">WH-ADC0916M3E5UK1 </t>
  </si>
  <si>
    <t>WH-ADC0916M3E51</t>
  </si>
  <si>
    <t>WH-ADC0916M3E5UK1</t>
  </si>
  <si>
    <t>WH-ADC0316M9E81</t>
  </si>
  <si>
    <t>TBC</t>
  </si>
  <si>
    <t>WH-ADC16K6E5</t>
  </si>
  <si>
    <t>WH-UDZ16KE5</t>
  </si>
  <si>
    <t>WH-ADC16K6E5AN</t>
  </si>
  <si>
    <t>WH-ADC16K6E5UK</t>
  </si>
  <si>
    <t>WH-SDC16K6E5</t>
  </si>
  <si>
    <t>WH-ADC16K6E53</t>
  </si>
  <si>
    <t>WH-ADC16K6E5AN3</t>
  </si>
  <si>
    <t>WH-ADC16K6E5UK3</t>
  </si>
  <si>
    <t>WH-WDG12ME5</t>
  </si>
  <si>
    <t>WH-WDG16ME5</t>
  </si>
  <si>
    <t>Needs spot checking</t>
  </si>
  <si>
    <t>WH-ADC0916M3E53</t>
  </si>
  <si>
    <t>WH-ADC0916M6E53</t>
  </si>
  <si>
    <t>WH-ADC0916M3E5AN3</t>
  </si>
  <si>
    <t>WH-SDC0916M6E5</t>
  </si>
  <si>
    <t>WH-WDG12ME5+WH-CME5</t>
  </si>
  <si>
    <t>WH-WDG16ME5+WH-CME5</t>
  </si>
  <si>
    <t>WH-ADC0916M3E5UK3</t>
  </si>
  <si>
    <t>WH-ADC0509L3E51 + WH-WDG05LE5</t>
  </si>
  <si>
    <t>WH-ADC0509L3E5UK1 + WH-WDG05LE5</t>
  </si>
  <si>
    <t>WH-ADC0509L3E51 + WH-WDG07LE5</t>
  </si>
  <si>
    <t>WH-ADC0509L3E5UK1 + WH-WDG07LE5</t>
  </si>
  <si>
    <t>WH-ADC0509L3E51 + WH-WDG09LE5</t>
  </si>
  <si>
    <t>WH-ADC0509L3E5UK1 + WH-WDG09LE5</t>
  </si>
  <si>
    <t>WH-ADC16K6E5 + WH-UDZ16KE5</t>
  </si>
  <si>
    <t>WH-ADC16K6E5UK + WH-UDZ16KE5</t>
  </si>
  <si>
    <t>WH-ADC16K6E5AN + WH-UDZ16KE5</t>
  </si>
  <si>
    <t>WH-ADC0916M3E51 + WH-WDG12ME5</t>
  </si>
  <si>
    <t>WH-ADC0916M3E51 + WH-WDG16ME5</t>
  </si>
  <si>
    <t>WH-ADC0916M3E5UK1 + WH-WDG12ME5</t>
  </si>
  <si>
    <t>WH-ADC0916M3E5UK1 + WH-WDG16ME5</t>
  </si>
  <si>
    <t>WH-ADC0916M3E51 + WH-WXG09ME5</t>
  </si>
  <si>
    <t>WH-ADC0916M3E51 + WH-WXG12ME5</t>
  </si>
  <si>
    <t>WH-ADC0916M3E5UK1 + WH-WXG09ME5</t>
  </si>
  <si>
    <t>WH-ADC0916M3E5UK1 + WH-WXG12ME5</t>
  </si>
  <si>
    <t>WH-ADC16K6E53 + WH-UDZ16KE5</t>
  </si>
  <si>
    <t>WH-ADC16K6E5AN3 + WH-UDZ16KE5</t>
  </si>
  <si>
    <t>WH-ADC16K6E5UK3 + WH-UDZ16KE5</t>
  </si>
  <si>
    <t>WH-ADC0916M3E52 + WH-WDG12ME5</t>
  </si>
  <si>
    <t>WH-ADC0916M3E52 + WH-WDG16ME5</t>
  </si>
  <si>
    <t>WH-ADC0916M3E5UK2 + WH-WDG12ME5</t>
  </si>
  <si>
    <t>WH-ADC0916M3E5UK2 + WH-WDG16ME5</t>
  </si>
  <si>
    <t>WH-ADC0916M3E5AN2 + WH-WDG12ME5</t>
  </si>
  <si>
    <t>WH-ADC0916M3E5AN2 + WH-WDG16ME5</t>
  </si>
  <si>
    <t>WH-ADC0916M6E52 + WH-WDG12ME5</t>
  </si>
  <si>
    <t>WH-ADC0916M6E52 + WH-WDG16ME5</t>
  </si>
  <si>
    <t>Same as group above, except with 6kw back up heater</t>
  </si>
  <si>
    <t>WH-ADC0916M3E53 + WH-WDG12ME5</t>
  </si>
  <si>
    <t>WH-ADC0916M3E53 + WH-WDG16ME5</t>
  </si>
  <si>
    <t>WH-ADC0916M3E5UK3 + WH-WDG16ME5</t>
  </si>
  <si>
    <t>WH-ADC0916M3E5AN3 + WH-WDG12ME5</t>
  </si>
  <si>
    <t>WH-ADC0916M3E5AN3 + WH-WDG16ME5</t>
  </si>
  <si>
    <t>WH-ADC0916M6E53 + WH-WDG12ME5</t>
  </si>
  <si>
    <t>WH-ADC0916M6E53 + WH-WDG16ME5</t>
  </si>
  <si>
    <t>WH-ADC0916M3E5UK3 + WH-WDG12ME5</t>
  </si>
  <si>
    <t>WH-SDC0916M3E5 + WH-WDG12ME5</t>
  </si>
  <si>
    <t>WH-SDC0916M3E5 + WH-WDG16ME5</t>
  </si>
  <si>
    <t>WH-SDC0916M6E5 + WH-WDG12ME5</t>
  </si>
  <si>
    <t>WH-SDC0916M6E5 + WH-WDG16ME5</t>
  </si>
  <si>
    <t>Same as above, except 6kw back up heater</t>
  </si>
  <si>
    <t>WH-WDG12ME5 + WH-CME5</t>
  </si>
  <si>
    <t>WH-WDG16ME5 + WH-CME5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</si>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</sst>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2" fontId="2" fillId="2" borderId="0" xfId="0" applyNumberFormat="1" applyFont="1" applyFill="1" applyAlignment="1">
      <alignment wrapText="1"/>
    </xf>
    <xf numFmtId="1" fontId="2" fillId="2" borderId="0" xfId="0" applyNumberFormat="1" applyFont="1" applyFill="1" applyAlignment="1">
      <alignment wrapText="1"/>
    </xf>
    <xf numFmtId="2" fontId="2" fillId="3" borderId="0" xfId="0" applyNumberFormat="1" applyFont="1" applyFill="1" applyAlignment="1">
      <alignment wrapText="1"/>
    </xf>
    <xf numFmtId="0" fontId="1" fillId="4" borderId="0" xfId="0" applyFont="1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4" borderId="0" xfId="0" applyFont="1" applyFill="1"/>
    <xf numFmtId="0" fontId="6" fillId="0" borderId="0" xfId="0" applyFont="1"/>
    <xf numFmtId="0" fontId="2" fillId="2" borderId="0" xfId="0" applyFont="1" applyFill="1"/>
    <xf numFmtId="2" fontId="2" fillId="0" borderId="0" xfId="0" applyNumberFormat="1" applyFont="1" applyAlignment="1">
      <alignment wrapText="1"/>
    </xf>
    <xf numFmtId="0" fontId="2" fillId="4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2" fontId="2" fillId="4" borderId="0" xfId="0" applyNumberFormat="1" applyFont="1" applyFill="1"/>
    <xf numFmtId="2" fontId="0" fillId="0" borderId="0" xfId="0" applyNumberFormat="1"/>
    <xf numFmtId="2" fontId="10" fillId="2" borderId="0" xfId="0" applyNumberFormat="1" applyFont="1" applyFill="1" applyAlignment="1">
      <alignment wrapText="1"/>
    </xf>
    <xf numFmtId="2" fontId="10" fillId="0" borderId="0" xfId="0" applyNumberFormat="1" applyFont="1" applyAlignment="1">
      <alignment horizontal="left" wrapText="1"/>
    </xf>
    <xf numFmtId="2" fontId="10" fillId="2" borderId="0" xfId="0" quotePrefix="1" applyNumberFormat="1" applyFont="1" applyFill="1" applyAlignment="1">
      <alignment wrapText="1"/>
    </xf>
    <xf numFmtId="1" fontId="10" fillId="2" borderId="0" xfId="0" applyNumberFormat="1" applyFont="1" applyFill="1" applyAlignment="1">
      <alignment wrapText="1"/>
    </xf>
    <xf numFmtId="2" fontId="10" fillId="3" borderId="0" xfId="0" applyNumberFormat="1" applyFont="1" applyFill="1" applyAlignment="1">
      <alignment wrapText="1"/>
    </xf>
    <xf numFmtId="2" fontId="2" fillId="2" borderId="0" xfId="0" quotePrefix="1" applyNumberFormat="1" applyFont="1" applyFill="1" applyAlignment="1">
      <alignment wrapText="1"/>
    </xf>
    <xf numFmtId="0" fontId="10" fillId="4" borderId="0" xfId="0" applyFont="1" applyFill="1"/>
    <xf numFmtId="2" fontId="10" fillId="4" borderId="0" xfId="0" applyNumberFormat="1" applyFont="1" applyFill="1"/>
    <xf numFmtId="2" fontId="10" fillId="4" borderId="0" xfId="0" applyNumberFormat="1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wrapText="1"/>
    </xf>
    <xf numFmtId="2" fontId="5" fillId="2" borderId="0" xfId="0" applyNumberFormat="1" applyFont="1" applyFill="1" applyAlignment="1">
      <alignment wrapText="1"/>
    </xf>
    <xf numFmtId="2" fontId="10" fillId="0" borderId="0" xfId="0" applyNumberFormat="1" applyFont="1" applyAlignment="1">
      <alignment wrapText="1"/>
    </xf>
    <xf numFmtId="2" fontId="6" fillId="4" borderId="0" xfId="0" applyNumberFormat="1" applyFont="1" applyFill="1"/>
    <xf numFmtId="2" fontId="0" fillId="4" borderId="0" xfId="0" applyNumberFormat="1" applyFill="1"/>
    <xf numFmtId="2" fontId="10" fillId="0" borderId="0" xfId="0" applyNumberFormat="1" applyFont="1"/>
    <xf numFmtId="2" fontId="2" fillId="0" borderId="0" xfId="0" applyNumberFormat="1" applyFont="1" applyAlignment="1">
      <alignment horizontal="left" wrapText="1"/>
    </xf>
    <xf numFmtId="2" fontId="2" fillId="2" borderId="0" xfId="0" applyNumberFormat="1" applyFont="1" applyFill="1" applyAlignment="1">
      <alignment horizontal="left" wrapText="1"/>
    </xf>
    <xf numFmtId="2" fontId="2" fillId="4" borderId="0" xfId="0" applyNumberFormat="1" applyFont="1" applyFill="1" applyAlignment="1">
      <alignment horizontal="left"/>
    </xf>
    <xf numFmtId="0" fontId="2" fillId="3" borderId="0" xfId="0" applyFont="1" applyFill="1"/>
    <xf numFmtId="0" fontId="5" fillId="0" borderId="0" xfId="0" applyFont="1"/>
    <xf numFmtId="0" fontId="6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1" fillId="0" borderId="0" xfId="0" applyFont="1"/>
    <xf numFmtId="0" fontId="6" fillId="2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1" fontId="2" fillId="3" borderId="0" xfId="0" applyNumberFormat="1" applyFont="1" applyFill="1" applyAlignment="1">
      <alignment wrapText="1"/>
    </xf>
    <xf numFmtId="0" fontId="1" fillId="0" borderId="0" xfId="0" applyFont="1" applyAlignment="1">
      <alignment horizontal="right"/>
    </xf>
    <xf numFmtId="0" fontId="1" fillId="4" borderId="0" xfId="0" applyFont="1" applyFill="1" applyAlignment="1">
      <alignment horizontal="right"/>
    </xf>
    <xf numFmtId="0" fontId="12" fillId="0" borderId="0" xfId="0" applyFont="1"/>
    <xf numFmtId="2" fontId="13" fillId="0" borderId="0" xfId="0" applyNumberFormat="1" applyFont="1" applyAlignment="1">
      <alignment wrapText="1"/>
    </xf>
    <xf numFmtId="2" fontId="13" fillId="2" borderId="0" xfId="0" applyNumberFormat="1" applyFont="1" applyFill="1" applyAlignment="1">
      <alignment wrapText="1"/>
    </xf>
    <xf numFmtId="2" fontId="13" fillId="4" borderId="0" xfId="0" applyNumberFormat="1" applyFont="1" applyFill="1"/>
    <xf numFmtId="0" fontId="13" fillId="0" borderId="0" xfId="0" applyFont="1"/>
    <xf numFmtId="0" fontId="14" fillId="0" borderId="0" xfId="0" applyFont="1" applyAlignment="1">
      <alignment wrapText="1"/>
    </xf>
    <xf numFmtId="0" fontId="14" fillId="4" borderId="0" xfId="0" applyFont="1" applyFill="1"/>
    <xf numFmtId="2" fontId="6" fillId="2" borderId="0" xfId="0" applyNumberFormat="1" applyFont="1" applyFill="1" applyAlignment="1">
      <alignment wrapText="1"/>
    </xf>
    <xf numFmtId="2" fontId="12" fillId="2" borderId="0" xfId="0" applyNumberFormat="1" applyFont="1" applyFill="1" applyAlignment="1">
      <alignment wrapText="1"/>
    </xf>
    <xf numFmtId="0" fontId="10" fillId="2" borderId="0" xfId="0" applyFont="1" applyFill="1" applyAlignment="1">
      <alignment wrapText="1"/>
    </xf>
    <xf numFmtId="1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10" fillId="3" borderId="0" xfId="0" applyFont="1" applyFill="1"/>
    <xf numFmtId="2" fontId="2" fillId="3" borderId="0" xfId="0" applyNumberFormat="1" applyFont="1" applyFill="1"/>
    <xf numFmtId="0" fontId="2" fillId="3" borderId="0" xfId="0" quotePrefix="1" applyFont="1" applyFill="1" applyAlignment="1">
      <alignment horizontal="center"/>
    </xf>
    <xf numFmtId="2" fontId="2" fillId="3" borderId="0" xfId="0" quotePrefix="1" applyNumberFormat="1" applyFont="1" applyFill="1" applyAlignment="1">
      <alignment wrapText="1"/>
    </xf>
    <xf numFmtId="2" fontId="2" fillId="3" borderId="0" xfId="0" quotePrefix="1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thi, Ricky" id="{0DAE4496-E3DE-4CF1-9F19-BB9226583E67}" userId="S::Ricky.Sethi@eu.panasonic.com::539fa6ca-d159-4984-89f1-f3cbfbdbdd0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96EF11D7-5D45-4A2C-92F7-DBAA6423A698}">
    <text>Water temperature (OD temp = 35)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4F69A53D-ED05-4F40-9204-E7FCF33AC0DB}">
    <text>Water temperature (OD temp = 35)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F80FDD1B-A37E-44F9-918C-FD5716AAEE6C}">
    <text>Water temperature (OD temp = 35)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E11D3080-9888-4815-A42F-E44DE401F9A2}">
    <text>Water temperature (OD temp = 35)</text>
  </threadedComment>
  <threadedComment ref="X5" dT="2024-07-22T10:30:43.57" personId="{0DAE4496-E3DE-4CF1-9F19-BB9226583E67}" id="{0D7C7AA0-76B6-4C20-AA81-79BAA51B1985}">
    <text>Stand-alone units do not have a back-up heater</text>
  </threadedComment>
  <threadedComment ref="X15" dT="2024-07-22T10:30:43.57" personId="{0DAE4496-E3DE-4CF1-9F19-BB9226583E67}" id="{F9D8C69C-E4A4-40D3-9868-06B29BCE6B4B}">
    <text>Stand-alone units do not have a back-up heater</text>
  </threadedComment>
  <threadedComment ref="X25" dT="2024-07-22T10:30:43.57" personId="{0DAE4496-E3DE-4CF1-9F19-BB9226583E67}" id="{FD6FC278-6204-4E84-8794-77490881566C}">
    <text>Stand-alone units do not have a back-up heater</text>
  </threadedComment>
  <threadedComment ref="X35" dT="2024-07-22T10:30:43.57" personId="{0DAE4496-E3DE-4CF1-9F19-BB9226583E67}" id="{4A3C9D70-C60B-4348-9431-189F5A76CC70}">
    <text>Stand-alone units do not have a back-up heater</text>
  </threadedComment>
  <threadedComment ref="X45" dT="2024-07-22T10:30:43.57" personId="{0DAE4496-E3DE-4CF1-9F19-BB9226583E67}" id="{377FF436-BA28-4D52-836C-9696962DD416}">
    <text>Stand-alone units do not have a back-up heater</text>
  </threadedComment>
  <threadedComment ref="X55" dT="2024-07-22T10:30:43.57" personId="{0DAE4496-E3DE-4CF1-9F19-BB9226583E67}" id="{F468A794-3A8F-49F8-898C-AF3CE4D62EEC}">
    <text>Stand-alone units do not have a back-up heater</text>
  </threadedComment>
  <threadedComment ref="X65" dT="2024-07-22T10:30:43.57" personId="{0DAE4496-E3DE-4CF1-9F19-BB9226583E67}" id="{09D34EE1-BB62-4957-A8C4-BC02C51C5EBD}">
    <text>Stand-alone units do not have a back-up heater</text>
  </threadedComment>
  <threadedComment ref="X75" dT="2024-07-22T10:30:43.57" personId="{0DAE4496-E3DE-4CF1-9F19-BB9226583E67}" id="{9501663D-FA6D-4F76-955F-8A467D881EB7}">
    <text>Stand-alone units do not have a back-up heater</text>
  </threadedComment>
  <threadedComment ref="X85" dT="2024-07-22T10:30:43.57" personId="{0DAE4496-E3DE-4CF1-9F19-BB9226583E67}" id="{590616B5-9C36-469B-88DB-07B1A1198F90}">
    <text>Stand-alone units do not have a back-up heater</text>
  </threadedComment>
  <threadedComment ref="X95" dT="2024-07-22T10:30:43.57" personId="{0DAE4496-E3DE-4CF1-9F19-BB9226583E67}" id="{C1792891-D41C-4861-8FCC-607273FE3B15}">
    <text>Stand-alone units do not have a back-up heater</text>
  </threadedComment>
  <threadedComment ref="X105" dT="2024-07-22T10:30:43.57" personId="{0DAE4496-E3DE-4CF1-9F19-BB9226583E67}" id="{D8B7A870-19E6-4557-8081-634F7A752DE7}">
    <text>Stand-alone units do not have a back-up heater</text>
  </threadedComment>
  <threadedComment ref="X115" dT="2024-07-22T10:30:43.57" personId="{0DAE4496-E3DE-4CF1-9F19-BB9226583E67}" id="{36B0F97F-C41F-41D5-B9D5-8E5EB423A4EB}">
    <text>Stand-alone units do not have a back-up heater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5BCAE84D-846A-4664-96AA-2D352A4AA082}">
    <text>Water temperature (OD temp = 35)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090E86A7-2834-463F-81B8-0E525291439F}">
    <text>Water temperature (OD temp = 35)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52ABCD37-98FC-4ED9-8382-F9D6660513DA}">
    <text>Water temperature (OD temp = 35)</text>
  </threadedComment>
  <threadedComment ref="X5" dT="2024-07-22T10:30:43.57" personId="{0DAE4496-E3DE-4CF1-9F19-BB9226583E67}" id="{6CA0A4D0-56F3-4851-AAF6-5D11F9D4E1DF}">
    <text>Stand-alone units do not have a back-up heater</text>
  </threadedComment>
  <threadedComment ref="X15" dT="2024-07-22T10:30:43.57" personId="{0DAE4496-E3DE-4CF1-9F19-BB9226583E67}" id="{153CDC36-9E52-4C2A-9F14-12909F62CCF0}">
    <text>Stand-alone units do not have a back-up heater</text>
  </threadedComment>
  <threadedComment ref="X25" dT="2024-07-22T10:30:43.57" personId="{0DAE4496-E3DE-4CF1-9F19-BB9226583E67}" id="{F3A2AFBE-7D6A-47F1-BE9F-0A38F77048BD}">
    <text>Stand-alone units do not have a back-up heater</text>
  </threadedComment>
  <threadedComment ref="X35" dT="2024-07-22T10:30:43.57" personId="{0DAE4496-E3DE-4CF1-9F19-BB9226583E67}" id="{86F4D1D6-29D5-420C-B067-BDA0C067E186}">
    <text>Stand-alone units do not have a back-up heater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9D7B8BB2-1E31-464F-89E8-D0C8DA1028B5}">
    <text>Water temperature (OD temp = 35)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47DC3325-4899-41E2-9745-43AF36EB7C6C}">
    <text>Water temperature (OD temp = 35)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85BB9C2E-C45F-4613-8E0D-F6209ADBBEAA}">
    <text>Water temperature (OD temp = 35)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403E8396-D34B-4AF2-A9AD-4E5A3C2AC731}">
    <text>Water temperature (OD temp = 35)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F6DBB851-8B37-4A37-9746-0C27F46C52DC}">
    <text>Water temperature (OD temp = 35)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88D7E71A-44FF-4298-8232-A7F437D2D6E0}">
    <text>Water temperature (OD temp = 35)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521C6D41-504B-48A5-899B-83558A966007}">
    <text>Water temperature (OD temp = 35)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45483FCD-F0FC-449C-920E-521A57863590}">
    <text>Water temperature (OD temp = 35)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F4996134-F9D4-4C2D-A924-ED072994AF68}">
    <text>Water temperature (OD temp = 35)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2FA57B6D-0B4D-4524-815B-A4548005759A}">
    <text>Water temperature (OD temp = 35)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CE9328A7-F8CC-4830-B4AC-FCFC1765725F}">
    <text>Water temperature (OD temp = 35)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1A2ADED4-CCDF-4C1B-992A-086BEC100C87}">
    <text>Water temperature (OD temp = 35)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BC4F618F-F8EC-43C5-BFC3-11B58D9FCDE4}">
    <text>Water temperature (OD temp = 35)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AE3" dT="2024-06-12T10:55:55.77" personId="{0DAE4496-E3DE-4CF1-9F19-BB9226583E67}" id="{A83D0A4B-E569-42E9-BF04-FA67523BC59D}">
    <text>Water temperature (OD temp = 35)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15.x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39A3-542C-4D41-81C9-7E210537B5D8}">
  <dimension ref="A1:AH70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50" sqref="B50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ht="29.15" x14ac:dyDescent="0.4">
      <c r="C1" s="1" t="s">
        <v>17</v>
      </c>
      <c r="H1" s="46" t="s">
        <v>55</v>
      </c>
      <c r="T1" s="46" t="s">
        <v>55</v>
      </c>
      <c r="AG1" s="46" t="s">
        <v>55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42</v>
      </c>
      <c r="B5" s="1" t="s">
        <v>43</v>
      </c>
      <c r="C5" s="4">
        <v>-25</v>
      </c>
      <c r="D5" s="2"/>
      <c r="E5" s="5"/>
      <c r="F5" s="5"/>
      <c r="G5" s="5">
        <v>2.4500000000000002</v>
      </c>
      <c r="H5" s="5">
        <v>1.76</v>
      </c>
      <c r="I5" s="5"/>
      <c r="J5" s="5"/>
      <c r="K5" s="5">
        <f>G5/H5</f>
        <v>1.3920454545454546</v>
      </c>
      <c r="L5" s="17"/>
      <c r="M5" s="6">
        <v>55</v>
      </c>
      <c r="N5" s="13"/>
      <c r="O5" s="4">
        <v>-25</v>
      </c>
      <c r="P5" s="13"/>
      <c r="Q5" s="5"/>
      <c r="R5" s="5"/>
      <c r="S5" s="5">
        <v>3.6</v>
      </c>
      <c r="T5" s="5">
        <v>2.46</v>
      </c>
      <c r="U5" s="5"/>
      <c r="V5" s="5"/>
      <c r="W5" s="5">
        <f>S5/T5</f>
        <v>1.4634146341463414</v>
      </c>
      <c r="X5" s="4">
        <v>3</v>
      </c>
      <c r="Y5" s="17"/>
      <c r="Z5" s="5"/>
      <c r="AA5" s="5"/>
      <c r="AB5" s="5"/>
      <c r="AC5" s="5"/>
      <c r="AD5" s="13"/>
      <c r="AE5" s="13" t="s">
        <v>37</v>
      </c>
      <c r="AF5" s="7">
        <v>5</v>
      </c>
      <c r="AG5" s="7">
        <v>1.55</v>
      </c>
      <c r="AH5" s="7">
        <f>AF5/AG5</f>
        <v>3.225806451612903</v>
      </c>
    </row>
    <row r="6" spans="1:34" x14ac:dyDescent="0.4">
      <c r="A6" s="46" t="s">
        <v>60</v>
      </c>
      <c r="C6" s="13">
        <v>-20</v>
      </c>
      <c r="D6" s="2"/>
      <c r="E6" s="5"/>
      <c r="F6" s="5"/>
      <c r="G6" s="5">
        <v>4.7</v>
      </c>
      <c r="H6" s="5">
        <v>2.19</v>
      </c>
      <c r="I6" s="5"/>
      <c r="J6" s="5"/>
      <c r="K6" s="5">
        <f>G6/H6</f>
        <v>2.1461187214611872</v>
      </c>
      <c r="L6" s="17"/>
      <c r="M6" s="6">
        <v>55</v>
      </c>
      <c r="N6" s="13"/>
      <c r="O6" s="13">
        <v>-20</v>
      </c>
      <c r="P6" s="13"/>
      <c r="Q6" s="5"/>
      <c r="R6" s="5"/>
      <c r="S6" s="5">
        <v>4.25</v>
      </c>
      <c r="T6" s="5">
        <v>2.57</v>
      </c>
      <c r="U6" s="5"/>
      <c r="V6" s="5"/>
      <c r="W6" s="5">
        <f>S6/T6</f>
        <v>1.6536964980544748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3"/>
      <c r="C7" s="2">
        <v>-15</v>
      </c>
      <c r="D7" s="2"/>
      <c r="E7" s="5"/>
      <c r="F7" s="5"/>
      <c r="G7" s="5">
        <v>5</v>
      </c>
      <c r="H7" s="5">
        <v>1.94</v>
      </c>
      <c r="I7" s="5"/>
      <c r="J7" s="5"/>
      <c r="K7" s="5">
        <f>G7/H7</f>
        <v>2.5773195876288661</v>
      </c>
      <c r="L7" s="17"/>
      <c r="M7" s="6">
        <v>65</v>
      </c>
      <c r="N7" s="13"/>
      <c r="O7" s="13">
        <v>-15</v>
      </c>
      <c r="P7" s="13"/>
      <c r="Q7" s="5"/>
      <c r="R7" s="5"/>
      <c r="S7" s="5">
        <v>5</v>
      </c>
      <c r="T7" s="5">
        <v>2.63</v>
      </c>
      <c r="U7" s="5"/>
      <c r="V7" s="5"/>
      <c r="W7" s="5">
        <f>S7/T7</f>
        <v>1.9011406844106464</v>
      </c>
      <c r="X7" s="19"/>
      <c r="Y7" s="17"/>
      <c r="Z7" s="5"/>
      <c r="AA7" s="5"/>
      <c r="AB7" s="5"/>
      <c r="AC7" s="5"/>
      <c r="AD7" s="13"/>
      <c r="AE7" s="13" t="s">
        <v>38</v>
      </c>
      <c r="AF7" s="7">
        <v>5.2</v>
      </c>
      <c r="AG7" s="7">
        <v>1.44</v>
      </c>
      <c r="AH7" s="7">
        <f t="shared" ref="AH7:AH8" si="0">AF7/AG7</f>
        <v>3.6111111111111112</v>
      </c>
    </row>
    <row r="8" spans="1:34" x14ac:dyDescent="0.4">
      <c r="A8" s="3"/>
      <c r="C8" s="2">
        <v>-10</v>
      </c>
      <c r="D8" s="2"/>
      <c r="E8" s="5"/>
      <c r="F8" s="5"/>
      <c r="G8" s="5"/>
      <c r="H8" s="5"/>
      <c r="I8" s="5"/>
      <c r="J8" s="5"/>
      <c r="K8" s="5"/>
      <c r="L8" s="17"/>
      <c r="M8" s="6">
        <v>65</v>
      </c>
      <c r="N8" s="13"/>
      <c r="O8" s="13">
        <v>-10</v>
      </c>
      <c r="P8" s="13"/>
      <c r="Q8" s="5"/>
      <c r="R8" s="5"/>
      <c r="S8" s="5"/>
      <c r="T8" s="5"/>
      <c r="U8" s="5"/>
      <c r="V8" s="5"/>
      <c r="W8" s="5"/>
      <c r="X8" s="19"/>
      <c r="Y8" s="17" t="s">
        <v>39</v>
      </c>
      <c r="Z8" s="5">
        <v>5</v>
      </c>
      <c r="AA8" s="5">
        <v>2.82</v>
      </c>
      <c r="AB8" s="5">
        <v>5</v>
      </c>
      <c r="AC8" s="5">
        <v>2.0299999999999998</v>
      </c>
      <c r="AD8" s="13"/>
      <c r="AE8" s="13" t="s">
        <v>40</v>
      </c>
      <c r="AF8" s="7">
        <v>5</v>
      </c>
      <c r="AG8" s="7">
        <v>1</v>
      </c>
      <c r="AH8" s="7">
        <f t="shared" si="0"/>
        <v>5</v>
      </c>
    </row>
    <row r="9" spans="1:34" x14ac:dyDescent="0.4">
      <c r="A9" s="3"/>
      <c r="C9" s="2">
        <v>-7</v>
      </c>
      <c r="D9" s="2"/>
      <c r="E9" s="5"/>
      <c r="F9" s="5"/>
      <c r="G9" s="5">
        <v>5</v>
      </c>
      <c r="H9" s="5">
        <v>1.66</v>
      </c>
      <c r="I9" s="5"/>
      <c r="J9" s="5"/>
      <c r="K9" s="5">
        <f>G9/H9</f>
        <v>3.0120481927710845</v>
      </c>
      <c r="L9" s="17"/>
      <c r="M9" s="6">
        <v>75</v>
      </c>
      <c r="N9" s="13"/>
      <c r="O9" s="13">
        <v>-7</v>
      </c>
      <c r="P9" s="13"/>
      <c r="Q9" s="5"/>
      <c r="R9" s="5"/>
      <c r="S9" s="5">
        <v>5</v>
      </c>
      <c r="T9" s="5">
        <v>2.36</v>
      </c>
      <c r="U9" s="5"/>
      <c r="V9" s="5"/>
      <c r="W9" s="5">
        <f>S9/T9</f>
        <v>2.1186440677966103</v>
      </c>
      <c r="X9" s="19"/>
      <c r="Y9" s="5">
        <f>AA9*(1.029-(0.05*Z9/G11))</f>
        <v>3.2012499999999995</v>
      </c>
      <c r="Z9" s="5">
        <v>4.4000000000000004</v>
      </c>
      <c r="AA9" s="5">
        <v>3.25</v>
      </c>
      <c r="AB9" s="5">
        <v>4.4000000000000004</v>
      </c>
      <c r="AC9" s="5">
        <v>2.27</v>
      </c>
      <c r="AD9" s="13"/>
      <c r="AE9" s="13"/>
      <c r="AF9" s="19"/>
      <c r="AG9" s="19"/>
      <c r="AH9" s="20"/>
    </row>
    <row r="10" spans="1:34" x14ac:dyDescent="0.4">
      <c r="A10" s="3"/>
      <c r="C10" s="2">
        <v>2</v>
      </c>
      <c r="D10" s="2"/>
      <c r="E10" s="5"/>
      <c r="F10" s="5"/>
      <c r="G10" s="5">
        <v>5</v>
      </c>
      <c r="H10" s="5">
        <v>1.42</v>
      </c>
      <c r="I10" s="5"/>
      <c r="J10" s="5"/>
      <c r="K10" s="5">
        <f>G10/H10</f>
        <v>3.5211267605633805</v>
      </c>
      <c r="L10" s="17"/>
      <c r="M10" s="6">
        <v>75</v>
      </c>
      <c r="N10" s="13"/>
      <c r="O10" s="13">
        <v>2</v>
      </c>
      <c r="P10" s="13"/>
      <c r="Q10" s="5"/>
      <c r="R10" s="5"/>
      <c r="S10" s="5">
        <v>5</v>
      </c>
      <c r="T10" s="5">
        <v>2.14</v>
      </c>
      <c r="U10" s="5"/>
      <c r="V10" s="5"/>
      <c r="W10" s="5">
        <f>S10/T10</f>
        <v>2.3364485981308412</v>
      </c>
      <c r="X10" s="19"/>
      <c r="Y10" s="5">
        <f>AA10*(0.906-(0.044*Z10/G11))</f>
        <v>4.4200223999999997</v>
      </c>
      <c r="Z10" s="5">
        <v>2.7</v>
      </c>
      <c r="AA10" s="5">
        <v>5.01</v>
      </c>
      <c r="AB10" s="5">
        <v>2.7</v>
      </c>
      <c r="AC10" s="5">
        <v>3.55</v>
      </c>
      <c r="AD10" s="13"/>
      <c r="AE10" s="13"/>
      <c r="AF10" s="19"/>
      <c r="AG10" s="19"/>
      <c r="AH10" s="20"/>
    </row>
    <row r="11" spans="1:34" x14ac:dyDescent="0.4">
      <c r="A11" s="3"/>
      <c r="C11" s="2">
        <v>7</v>
      </c>
      <c r="D11" s="2"/>
      <c r="E11" s="5"/>
      <c r="F11" s="5"/>
      <c r="G11" s="5">
        <v>5</v>
      </c>
      <c r="H11" s="5">
        <v>0.99</v>
      </c>
      <c r="I11" s="5"/>
      <c r="J11" s="5"/>
      <c r="K11" s="5">
        <f>G11/H11</f>
        <v>5.0505050505050502</v>
      </c>
      <c r="L11" s="17"/>
      <c r="M11" s="6">
        <v>75</v>
      </c>
      <c r="N11" s="13"/>
      <c r="O11" s="13">
        <v>7</v>
      </c>
      <c r="P11" s="13"/>
      <c r="Q11" s="5"/>
      <c r="R11" s="5"/>
      <c r="S11" s="5">
        <v>5</v>
      </c>
      <c r="T11" s="5">
        <v>1.63</v>
      </c>
      <c r="U11" s="5"/>
      <c r="V11" s="5"/>
      <c r="W11" s="5">
        <f>S11/T11</f>
        <v>3.0674846625766872</v>
      </c>
      <c r="X11" s="19"/>
      <c r="Y11" s="5">
        <f>K11</f>
        <v>5.0505050505050502</v>
      </c>
      <c r="Z11" s="5">
        <v>2.6</v>
      </c>
      <c r="AA11" s="5">
        <v>6.44</v>
      </c>
      <c r="AB11" s="5">
        <v>2.4</v>
      </c>
      <c r="AC11" s="5">
        <v>4.6900000000000004</v>
      </c>
      <c r="AD11" s="13"/>
      <c r="AE11" s="13"/>
      <c r="AF11" s="19"/>
      <c r="AG11" s="19"/>
      <c r="AH11" s="20"/>
    </row>
    <row r="12" spans="1:34" x14ac:dyDescent="0.4">
      <c r="A12" s="3"/>
      <c r="C12" s="2">
        <v>12</v>
      </c>
      <c r="D12" s="2"/>
      <c r="E12" s="5"/>
      <c r="F12" s="5"/>
      <c r="G12" s="5"/>
      <c r="H12" s="5"/>
      <c r="I12" s="5"/>
      <c r="J12" s="5"/>
      <c r="K12" s="5"/>
      <c r="L12" s="17"/>
      <c r="M12" s="6">
        <v>75</v>
      </c>
      <c r="N12" s="13"/>
      <c r="O12" s="13">
        <v>12</v>
      </c>
      <c r="P12" s="13"/>
      <c r="Q12" s="5"/>
      <c r="R12" s="5"/>
      <c r="S12" s="5"/>
      <c r="T12" s="5"/>
      <c r="U12" s="5"/>
      <c r="V12" s="5"/>
      <c r="W12" s="5"/>
      <c r="X12" s="19"/>
      <c r="Y12" s="17"/>
      <c r="Z12" s="5">
        <v>3</v>
      </c>
      <c r="AA12" s="5">
        <v>8.2799999999999994</v>
      </c>
      <c r="AB12" s="5">
        <v>2.9</v>
      </c>
      <c r="AC12" s="5">
        <v>6.08</v>
      </c>
      <c r="AD12" s="13"/>
      <c r="AE12" s="13"/>
      <c r="AF12" s="19"/>
      <c r="AG12" s="19"/>
      <c r="AH12" s="20"/>
    </row>
    <row r="13" spans="1:34" x14ac:dyDescent="0.4">
      <c r="A13" s="8"/>
      <c r="B13" s="8"/>
      <c r="C13" s="9"/>
      <c r="D13" s="9"/>
      <c r="E13" s="18"/>
      <c r="F13" s="18"/>
      <c r="G13" s="18"/>
      <c r="H13" s="18"/>
      <c r="I13" s="18"/>
      <c r="J13" s="18"/>
      <c r="K13" s="18"/>
      <c r="L13" s="18"/>
      <c r="M13" s="18"/>
      <c r="N13" s="14"/>
      <c r="O13" s="14"/>
      <c r="P13" s="14"/>
      <c r="Q13" s="18"/>
      <c r="R13" s="18"/>
      <c r="S13" s="18"/>
      <c r="T13" s="18"/>
      <c r="U13" s="18"/>
      <c r="V13" s="18"/>
      <c r="W13" s="18"/>
      <c r="X13" s="18"/>
      <c r="Y13" s="22"/>
      <c r="Z13" s="22"/>
      <c r="AA13" s="22"/>
      <c r="AB13" s="22"/>
      <c r="AC13" s="22"/>
      <c r="AD13" s="14"/>
      <c r="AE13" s="14"/>
      <c r="AF13" s="18"/>
      <c r="AG13" s="18"/>
      <c r="AH13" s="18"/>
    </row>
    <row r="14" spans="1:34" x14ac:dyDescent="0.4">
      <c r="A14" s="3" t="s">
        <v>51</v>
      </c>
      <c r="B14" s="1" t="s">
        <v>43</v>
      </c>
      <c r="C14" s="4">
        <v>-25</v>
      </c>
      <c r="D14" s="2"/>
      <c r="E14" s="5"/>
      <c r="F14" s="5"/>
      <c r="G14" s="5">
        <v>2.4500000000000002</v>
      </c>
      <c r="H14" s="5">
        <v>1.76</v>
      </c>
      <c r="I14" s="5"/>
      <c r="J14" s="5"/>
      <c r="K14" s="5">
        <f>G14/H14</f>
        <v>1.3920454545454546</v>
      </c>
      <c r="L14" s="17"/>
      <c r="M14" s="6">
        <v>55</v>
      </c>
      <c r="N14" s="13"/>
      <c r="O14" s="4">
        <v>-25</v>
      </c>
      <c r="P14" s="13"/>
      <c r="Q14" s="5"/>
      <c r="R14" s="5"/>
      <c r="S14" s="5">
        <v>3.6</v>
      </c>
      <c r="T14" s="5">
        <v>2.46</v>
      </c>
      <c r="U14" s="5"/>
      <c r="V14" s="5"/>
      <c r="W14" s="5">
        <f>S14/T14</f>
        <v>1.4634146341463414</v>
      </c>
      <c r="X14" s="4">
        <v>6</v>
      </c>
      <c r="Y14" s="17"/>
      <c r="Z14" s="5"/>
      <c r="AA14" s="5"/>
      <c r="AB14" s="5"/>
      <c r="AC14" s="5"/>
      <c r="AD14" s="13"/>
      <c r="AE14" s="13" t="s">
        <v>37</v>
      </c>
      <c r="AF14" s="7">
        <v>5</v>
      </c>
      <c r="AG14" s="7">
        <v>1.55</v>
      </c>
      <c r="AH14" s="7">
        <f>AF14/AG14</f>
        <v>3.225806451612903</v>
      </c>
    </row>
    <row r="15" spans="1:34" x14ac:dyDescent="0.4">
      <c r="A15" s="46" t="s">
        <v>60</v>
      </c>
      <c r="C15" s="13">
        <v>-20</v>
      </c>
      <c r="D15" s="2"/>
      <c r="E15" s="5"/>
      <c r="F15" s="5"/>
      <c r="G15" s="5">
        <v>4.7</v>
      </c>
      <c r="H15" s="5">
        <v>2.19</v>
      </c>
      <c r="I15" s="5"/>
      <c r="J15" s="5"/>
      <c r="K15" s="5">
        <f>G15/H15</f>
        <v>2.1461187214611872</v>
      </c>
      <c r="L15" s="17"/>
      <c r="M15" s="6">
        <v>55</v>
      </c>
      <c r="N15" s="13"/>
      <c r="O15" s="13">
        <v>-20</v>
      </c>
      <c r="P15" s="13"/>
      <c r="Q15" s="5"/>
      <c r="R15" s="5"/>
      <c r="S15" s="5">
        <v>4.25</v>
      </c>
      <c r="T15" s="5">
        <v>2.57</v>
      </c>
      <c r="U15" s="5"/>
      <c r="V15" s="5"/>
      <c r="W15" s="5">
        <f>S15/T15</f>
        <v>1.6536964980544748</v>
      </c>
      <c r="X15" s="19"/>
      <c r="Y15" s="17"/>
      <c r="Z15" s="5"/>
      <c r="AA15" s="5"/>
      <c r="AB15" s="5"/>
      <c r="AC15" s="5"/>
      <c r="AD15" s="13"/>
      <c r="AE15" s="13"/>
      <c r="AF15" s="7"/>
      <c r="AG15" s="7"/>
      <c r="AH15" s="7"/>
    </row>
    <row r="16" spans="1:34" x14ac:dyDescent="0.4">
      <c r="A16" s="3"/>
      <c r="C16" s="2">
        <v>-15</v>
      </c>
      <c r="D16" s="2"/>
      <c r="E16" s="5"/>
      <c r="F16" s="5"/>
      <c r="G16" s="5">
        <v>5</v>
      </c>
      <c r="H16" s="5">
        <v>1.94</v>
      </c>
      <c r="I16" s="5"/>
      <c r="J16" s="5"/>
      <c r="K16" s="5">
        <f>G16/H16</f>
        <v>2.5773195876288661</v>
      </c>
      <c r="L16" s="17"/>
      <c r="M16" s="6">
        <v>65</v>
      </c>
      <c r="N16" s="13"/>
      <c r="O16" s="13">
        <v>-15</v>
      </c>
      <c r="P16" s="13"/>
      <c r="Q16" s="5"/>
      <c r="R16" s="5"/>
      <c r="S16" s="5">
        <v>5</v>
      </c>
      <c r="T16" s="5">
        <v>2.63</v>
      </c>
      <c r="U16" s="5"/>
      <c r="V16" s="5"/>
      <c r="W16" s="5">
        <f>S16/T16</f>
        <v>1.9011406844106464</v>
      </c>
      <c r="X16" s="19"/>
      <c r="Y16" s="17"/>
      <c r="Z16" s="5"/>
      <c r="AA16" s="5"/>
      <c r="AB16" s="5"/>
      <c r="AC16" s="5"/>
      <c r="AD16" s="13"/>
      <c r="AE16" s="13" t="s">
        <v>38</v>
      </c>
      <c r="AF16" s="7">
        <v>5.2</v>
      </c>
      <c r="AG16" s="7">
        <v>1.44</v>
      </c>
      <c r="AH16" s="7">
        <f t="shared" ref="AH16:AH17" si="1">AF16/AG16</f>
        <v>3.6111111111111112</v>
      </c>
    </row>
    <row r="17" spans="1:34" x14ac:dyDescent="0.4">
      <c r="A17" s="3"/>
      <c r="C17" s="2">
        <v>-10</v>
      </c>
      <c r="D17" s="2"/>
      <c r="E17" s="5"/>
      <c r="F17" s="5"/>
      <c r="G17" s="5"/>
      <c r="H17" s="5"/>
      <c r="I17" s="5"/>
      <c r="J17" s="5"/>
      <c r="K17" s="5"/>
      <c r="L17" s="17"/>
      <c r="M17" s="6">
        <v>65</v>
      </c>
      <c r="N17" s="13"/>
      <c r="O17" s="13">
        <v>-10</v>
      </c>
      <c r="P17" s="13"/>
      <c r="Q17" s="5"/>
      <c r="R17" s="5"/>
      <c r="S17" s="5"/>
      <c r="T17" s="5"/>
      <c r="U17" s="5"/>
      <c r="V17" s="5"/>
      <c r="W17" s="5"/>
      <c r="X17" s="19"/>
      <c r="Y17" s="17" t="s">
        <v>39</v>
      </c>
      <c r="Z17" s="5">
        <v>5</v>
      </c>
      <c r="AA17" s="5">
        <v>2.82</v>
      </c>
      <c r="AB17" s="5">
        <v>5</v>
      </c>
      <c r="AC17" s="5">
        <v>2.0299999999999998</v>
      </c>
      <c r="AD17" s="13"/>
      <c r="AE17" s="13" t="s">
        <v>40</v>
      </c>
      <c r="AF17" s="7">
        <v>5</v>
      </c>
      <c r="AG17" s="7">
        <v>1</v>
      </c>
      <c r="AH17" s="7">
        <f t="shared" si="1"/>
        <v>5</v>
      </c>
    </row>
    <row r="18" spans="1:34" x14ac:dyDescent="0.4">
      <c r="A18" s="3"/>
      <c r="C18" s="2">
        <v>-7</v>
      </c>
      <c r="D18" s="2"/>
      <c r="E18" s="5"/>
      <c r="F18" s="5"/>
      <c r="G18" s="5">
        <v>5</v>
      </c>
      <c r="H18" s="5">
        <v>1.66</v>
      </c>
      <c r="I18" s="5"/>
      <c r="J18" s="5"/>
      <c r="K18" s="5">
        <f>G18/H18</f>
        <v>3.0120481927710845</v>
      </c>
      <c r="L18" s="17"/>
      <c r="M18" s="6">
        <v>75</v>
      </c>
      <c r="N18" s="13"/>
      <c r="O18" s="13">
        <v>-7</v>
      </c>
      <c r="P18" s="13"/>
      <c r="Q18" s="5"/>
      <c r="R18" s="5"/>
      <c r="S18" s="5">
        <v>5</v>
      </c>
      <c r="T18" s="5">
        <v>2.36</v>
      </c>
      <c r="U18" s="5"/>
      <c r="V18" s="5"/>
      <c r="W18" s="5">
        <f>S18/T18</f>
        <v>2.1186440677966103</v>
      </c>
      <c r="X18" s="19"/>
      <c r="Y18" s="5">
        <f>AA18*(1.029-(0.05*Z18/G20))</f>
        <v>3.2012499999999995</v>
      </c>
      <c r="Z18" s="5">
        <v>4.4000000000000004</v>
      </c>
      <c r="AA18" s="5">
        <v>3.25</v>
      </c>
      <c r="AB18" s="5">
        <v>4.4000000000000004</v>
      </c>
      <c r="AC18" s="5">
        <v>2.27</v>
      </c>
      <c r="AD18" s="13"/>
      <c r="AE18" s="13"/>
      <c r="AF18" s="19"/>
      <c r="AG18" s="19"/>
      <c r="AH18" s="20"/>
    </row>
    <row r="19" spans="1:34" x14ac:dyDescent="0.4">
      <c r="A19" s="3"/>
      <c r="C19" s="2">
        <v>2</v>
      </c>
      <c r="D19" s="2"/>
      <c r="E19" s="5"/>
      <c r="F19" s="5"/>
      <c r="G19" s="5">
        <v>5</v>
      </c>
      <c r="H19" s="5">
        <v>1.42</v>
      </c>
      <c r="I19" s="5"/>
      <c r="J19" s="5"/>
      <c r="K19" s="5">
        <f>G19/H19</f>
        <v>3.5211267605633805</v>
      </c>
      <c r="L19" s="17"/>
      <c r="M19" s="6">
        <v>75</v>
      </c>
      <c r="N19" s="13"/>
      <c r="O19" s="13">
        <v>2</v>
      </c>
      <c r="P19" s="13"/>
      <c r="Q19" s="5"/>
      <c r="R19" s="5"/>
      <c r="S19" s="5">
        <v>5</v>
      </c>
      <c r="T19" s="5">
        <v>2.14</v>
      </c>
      <c r="U19" s="5"/>
      <c r="V19" s="5"/>
      <c r="W19" s="5">
        <f>S19/T19</f>
        <v>2.3364485981308412</v>
      </c>
      <c r="X19" s="19"/>
      <c r="Y19" s="5">
        <f>AA19*(0.906-(0.044*Z19/G20))</f>
        <v>4.4200223999999997</v>
      </c>
      <c r="Z19" s="5">
        <v>2.7</v>
      </c>
      <c r="AA19" s="5">
        <v>5.01</v>
      </c>
      <c r="AB19" s="5">
        <v>2.7</v>
      </c>
      <c r="AC19" s="5">
        <v>3.55</v>
      </c>
      <c r="AD19" s="13"/>
      <c r="AE19" s="13"/>
      <c r="AF19" s="19"/>
      <c r="AG19" s="19"/>
      <c r="AH19" s="20"/>
    </row>
    <row r="20" spans="1:34" x14ac:dyDescent="0.4">
      <c r="A20" s="3"/>
      <c r="C20" s="2">
        <v>7</v>
      </c>
      <c r="D20" s="2"/>
      <c r="E20" s="5"/>
      <c r="F20" s="5"/>
      <c r="G20" s="5">
        <v>5</v>
      </c>
      <c r="H20" s="5">
        <v>0.99</v>
      </c>
      <c r="I20" s="5"/>
      <c r="J20" s="5"/>
      <c r="K20" s="5">
        <f>G20/H20</f>
        <v>5.0505050505050502</v>
      </c>
      <c r="L20" s="17"/>
      <c r="M20" s="6">
        <v>75</v>
      </c>
      <c r="N20" s="13"/>
      <c r="O20" s="13">
        <v>7</v>
      </c>
      <c r="P20" s="13"/>
      <c r="Q20" s="5"/>
      <c r="R20" s="5"/>
      <c r="S20" s="5">
        <v>5</v>
      </c>
      <c r="T20" s="5">
        <v>1.63</v>
      </c>
      <c r="U20" s="5"/>
      <c r="V20" s="5"/>
      <c r="W20" s="5">
        <f>S20/T20</f>
        <v>3.0674846625766872</v>
      </c>
      <c r="X20" s="19"/>
      <c r="Y20" s="5">
        <f>K20</f>
        <v>5.0505050505050502</v>
      </c>
      <c r="Z20" s="5">
        <v>2.6</v>
      </c>
      <c r="AA20" s="5">
        <v>6.44</v>
      </c>
      <c r="AB20" s="5">
        <v>2.4</v>
      </c>
      <c r="AC20" s="5">
        <v>4.6900000000000004</v>
      </c>
      <c r="AD20" s="13"/>
      <c r="AE20" s="13"/>
      <c r="AF20" s="19"/>
      <c r="AG20" s="19"/>
      <c r="AH20" s="20"/>
    </row>
    <row r="21" spans="1:34" x14ac:dyDescent="0.4">
      <c r="A21" s="3"/>
      <c r="C21" s="2">
        <v>12</v>
      </c>
      <c r="D21" s="2"/>
      <c r="E21" s="5"/>
      <c r="F21" s="5"/>
      <c r="G21" s="5"/>
      <c r="H21" s="5"/>
      <c r="I21" s="5"/>
      <c r="J21" s="5"/>
      <c r="K21" s="5"/>
      <c r="L21" s="17"/>
      <c r="M21" s="6">
        <v>75</v>
      </c>
      <c r="N21" s="13"/>
      <c r="O21" s="13">
        <v>12</v>
      </c>
      <c r="P21" s="13"/>
      <c r="Q21" s="5"/>
      <c r="R21" s="5"/>
      <c r="S21" s="5"/>
      <c r="T21" s="5"/>
      <c r="U21" s="5"/>
      <c r="V21" s="5"/>
      <c r="W21" s="5"/>
      <c r="X21" s="19"/>
      <c r="Y21" s="17"/>
      <c r="Z21" s="5">
        <v>3</v>
      </c>
      <c r="AA21" s="5">
        <v>8.2799999999999994</v>
      </c>
      <c r="AB21" s="5">
        <v>2.9</v>
      </c>
      <c r="AC21" s="5">
        <v>6.08</v>
      </c>
      <c r="AD21" s="13"/>
      <c r="AE21" s="13"/>
      <c r="AF21" s="19"/>
      <c r="AG21" s="19"/>
      <c r="AH21" s="20"/>
    </row>
    <row r="22" spans="1:34" x14ac:dyDescent="0.4">
      <c r="A22" s="8"/>
      <c r="B22" s="8"/>
      <c r="C22" s="9"/>
      <c r="D22" s="9"/>
      <c r="E22" s="18"/>
      <c r="F22" s="18"/>
      <c r="G22" s="18"/>
      <c r="H22" s="18"/>
      <c r="I22" s="18"/>
      <c r="J22" s="18"/>
      <c r="K22" s="18"/>
      <c r="L22" s="18"/>
      <c r="M22" s="18"/>
      <c r="N22" s="14"/>
      <c r="O22" s="14"/>
      <c r="P22" s="14"/>
      <c r="Q22" s="18"/>
      <c r="R22" s="18"/>
      <c r="S22" s="18"/>
      <c r="T22" s="18"/>
      <c r="U22" s="18"/>
      <c r="V22" s="18"/>
      <c r="W22" s="18"/>
      <c r="X22" s="18"/>
      <c r="Y22" s="22"/>
      <c r="Z22" s="22"/>
      <c r="AA22" s="22"/>
      <c r="AB22" s="22"/>
      <c r="AC22" s="22"/>
      <c r="AD22" s="14"/>
      <c r="AE22" s="14"/>
      <c r="AF22" s="18"/>
      <c r="AG22" s="18"/>
      <c r="AH22" s="18"/>
    </row>
    <row r="23" spans="1:34" x14ac:dyDescent="0.4">
      <c r="A23" s="3" t="s">
        <v>52</v>
      </c>
      <c r="B23" s="1" t="s">
        <v>45</v>
      </c>
      <c r="C23" s="4">
        <v>-25</v>
      </c>
      <c r="D23" s="2"/>
      <c r="E23" s="5"/>
      <c r="F23" s="5"/>
      <c r="G23" s="5">
        <v>4.75</v>
      </c>
      <c r="H23" s="5">
        <v>2.5299999999999998</v>
      </c>
      <c r="I23" s="5"/>
      <c r="J23" s="5"/>
      <c r="K23" s="5">
        <f>G23/H23</f>
        <v>1.8774703557312253</v>
      </c>
      <c r="L23" s="17"/>
      <c r="M23" s="6">
        <v>55</v>
      </c>
      <c r="N23" s="13"/>
      <c r="O23" s="4">
        <v>-25</v>
      </c>
      <c r="P23" s="13"/>
      <c r="Q23" s="5"/>
      <c r="R23" s="5"/>
      <c r="S23" s="5">
        <v>3.95</v>
      </c>
      <c r="T23" s="5">
        <v>2.78</v>
      </c>
      <c r="U23" s="5"/>
      <c r="V23" s="5"/>
      <c r="W23" s="5">
        <f>S23/T23</f>
        <v>1.4208633093525183</v>
      </c>
      <c r="X23" s="4">
        <v>3</v>
      </c>
      <c r="Y23" s="17"/>
      <c r="Z23" s="5"/>
      <c r="AA23" s="5"/>
      <c r="AB23" s="5"/>
      <c r="AC23" s="5"/>
      <c r="AD23" s="13"/>
      <c r="AE23" s="13" t="s">
        <v>37</v>
      </c>
      <c r="AF23" s="7">
        <v>7</v>
      </c>
      <c r="AG23" s="7">
        <v>2.31</v>
      </c>
      <c r="AH23" s="7">
        <f>AF23/AG23</f>
        <v>3.0303030303030303</v>
      </c>
    </row>
    <row r="24" spans="1:34" x14ac:dyDescent="0.4">
      <c r="A24" s="46" t="s">
        <v>60</v>
      </c>
      <c r="C24" s="13">
        <v>-20</v>
      </c>
      <c r="D24" s="2"/>
      <c r="E24" s="5"/>
      <c r="F24" s="5"/>
      <c r="G24" s="5">
        <v>5.5</v>
      </c>
      <c r="H24" s="5">
        <v>2.56</v>
      </c>
      <c r="I24" s="5"/>
      <c r="J24" s="5"/>
      <c r="K24" s="5">
        <f>G24/H24</f>
        <v>2.1484375</v>
      </c>
      <c r="L24" s="17"/>
      <c r="M24" s="6">
        <v>55</v>
      </c>
      <c r="N24" s="13"/>
      <c r="O24" s="13">
        <v>-20</v>
      </c>
      <c r="P24" s="13"/>
      <c r="Q24" s="5"/>
      <c r="R24" s="5"/>
      <c r="S24" s="5">
        <v>4.9000000000000004</v>
      </c>
      <c r="T24" s="5">
        <v>2.97</v>
      </c>
      <c r="U24" s="5"/>
      <c r="V24" s="5"/>
      <c r="W24" s="5">
        <f>S24/T24</f>
        <v>1.6498316498316499</v>
      </c>
      <c r="X24" s="19"/>
      <c r="Y24" s="17"/>
      <c r="Z24" s="5"/>
      <c r="AA24" s="5"/>
      <c r="AB24" s="5"/>
      <c r="AC24" s="5"/>
      <c r="AD24" s="13"/>
      <c r="AE24" s="13"/>
      <c r="AF24" s="7"/>
      <c r="AG24" s="7"/>
      <c r="AH24" s="7"/>
    </row>
    <row r="25" spans="1:34" x14ac:dyDescent="0.4">
      <c r="A25" s="3"/>
      <c r="C25" s="2">
        <v>-15</v>
      </c>
      <c r="D25" s="2"/>
      <c r="E25" s="5"/>
      <c r="F25" s="5"/>
      <c r="G25" s="5">
        <v>6</v>
      </c>
      <c r="H25" s="5">
        <v>2.5</v>
      </c>
      <c r="I25" s="5"/>
      <c r="J25" s="5"/>
      <c r="K25" s="5">
        <f>G25/H25</f>
        <v>2.4</v>
      </c>
      <c r="L25" s="17"/>
      <c r="M25" s="6">
        <v>65</v>
      </c>
      <c r="N25" s="13"/>
      <c r="O25" s="13">
        <v>-15</v>
      </c>
      <c r="P25" s="13"/>
      <c r="Q25" s="5"/>
      <c r="R25" s="5"/>
      <c r="S25" s="5">
        <v>5.2</v>
      </c>
      <c r="T25" s="5">
        <v>2.89</v>
      </c>
      <c r="U25" s="5"/>
      <c r="V25" s="5"/>
      <c r="W25" s="5">
        <f>S25/T25</f>
        <v>1.7993079584775087</v>
      </c>
      <c r="X25" s="19"/>
      <c r="Y25" s="17"/>
      <c r="Z25" s="5"/>
      <c r="AA25" s="5"/>
      <c r="AB25" s="5"/>
      <c r="AC25" s="5"/>
      <c r="AD25" s="13"/>
      <c r="AE25" s="13" t="s">
        <v>38</v>
      </c>
      <c r="AF25" s="7">
        <v>8</v>
      </c>
      <c r="AG25" s="7">
        <v>2.2599999999999998</v>
      </c>
      <c r="AH25" s="7">
        <f t="shared" ref="AH25:AH26" si="2">AF25/AG25</f>
        <v>3.5398230088495577</v>
      </c>
    </row>
    <row r="26" spans="1:34" x14ac:dyDescent="0.4">
      <c r="A26" s="3"/>
      <c r="C26" s="2">
        <v>-10</v>
      </c>
      <c r="D26" s="2"/>
      <c r="E26" s="5"/>
      <c r="F26" s="5"/>
      <c r="G26" s="5"/>
      <c r="H26" s="5"/>
      <c r="I26" s="5"/>
      <c r="J26" s="5"/>
      <c r="K26" s="5"/>
      <c r="L26" s="17"/>
      <c r="M26" s="6">
        <v>65</v>
      </c>
      <c r="N26" s="13"/>
      <c r="O26" s="13">
        <v>-10</v>
      </c>
      <c r="P26" s="13"/>
      <c r="Q26" s="5"/>
      <c r="R26" s="5"/>
      <c r="S26" s="5"/>
      <c r="T26" s="5"/>
      <c r="U26" s="5"/>
      <c r="V26" s="5"/>
      <c r="W26" s="5"/>
      <c r="X26" s="19"/>
      <c r="Y26" s="17" t="s">
        <v>39</v>
      </c>
      <c r="Z26" s="5">
        <v>7</v>
      </c>
      <c r="AA26" s="5">
        <v>2.83</v>
      </c>
      <c r="AB26" s="5">
        <v>7</v>
      </c>
      <c r="AC26" s="5">
        <v>2.08</v>
      </c>
      <c r="AD26" s="13"/>
      <c r="AE26" s="13" t="s">
        <v>40</v>
      </c>
      <c r="AF26" s="7">
        <v>7</v>
      </c>
      <c r="AG26" s="7">
        <v>1.48</v>
      </c>
      <c r="AH26" s="7">
        <f t="shared" si="2"/>
        <v>4.7297297297297298</v>
      </c>
    </row>
    <row r="27" spans="1:34" x14ac:dyDescent="0.4">
      <c r="A27" s="3"/>
      <c r="C27" s="2">
        <v>-7</v>
      </c>
      <c r="D27" s="2"/>
      <c r="E27" s="5"/>
      <c r="F27" s="5"/>
      <c r="G27" s="5">
        <v>5.8</v>
      </c>
      <c r="H27" s="5">
        <v>1.93</v>
      </c>
      <c r="I27" s="5"/>
      <c r="J27" s="5"/>
      <c r="K27" s="5">
        <f>G27/H27</f>
        <v>3.0051813471502591</v>
      </c>
      <c r="L27" s="17"/>
      <c r="M27" s="6">
        <v>75</v>
      </c>
      <c r="N27" s="13"/>
      <c r="O27" s="13">
        <v>-7</v>
      </c>
      <c r="P27" s="13"/>
      <c r="Q27" s="5"/>
      <c r="R27" s="5"/>
      <c r="S27" s="5">
        <v>5.8</v>
      </c>
      <c r="T27" s="5">
        <v>2.74</v>
      </c>
      <c r="U27" s="5"/>
      <c r="V27" s="5"/>
      <c r="W27" s="5">
        <f>S27/T27</f>
        <v>2.1167883211678831</v>
      </c>
      <c r="X27" s="19"/>
      <c r="Y27" s="5">
        <f>AA27*(1.029-(0.05*Z27/G29))</f>
        <v>3.210168571428571</v>
      </c>
      <c r="Z27" s="5">
        <v>6.2</v>
      </c>
      <c r="AA27" s="5">
        <v>3.26</v>
      </c>
      <c r="AB27" s="5">
        <v>6.2</v>
      </c>
      <c r="AC27" s="5">
        <v>2.33</v>
      </c>
      <c r="AD27" s="13"/>
      <c r="AE27" s="13"/>
      <c r="AF27" s="19"/>
      <c r="AG27" s="19"/>
      <c r="AH27" s="20"/>
    </row>
    <row r="28" spans="1:34" x14ac:dyDescent="0.4">
      <c r="A28" s="3"/>
      <c r="C28" s="2">
        <v>2</v>
      </c>
      <c r="D28" s="2"/>
      <c r="E28" s="5"/>
      <c r="F28" s="5"/>
      <c r="G28" s="5">
        <v>6.85</v>
      </c>
      <c r="H28" s="5">
        <v>2</v>
      </c>
      <c r="I28" s="5"/>
      <c r="J28" s="5"/>
      <c r="K28" s="5">
        <f>G28/H28</f>
        <v>3.4249999999999998</v>
      </c>
      <c r="L28" s="17"/>
      <c r="M28" s="6">
        <v>75</v>
      </c>
      <c r="N28" s="13"/>
      <c r="O28" s="13">
        <v>2</v>
      </c>
      <c r="P28" s="13"/>
      <c r="Q28" s="5"/>
      <c r="R28" s="5"/>
      <c r="S28" s="5">
        <v>6.25</v>
      </c>
      <c r="T28" s="5">
        <v>2.67</v>
      </c>
      <c r="U28" s="5"/>
      <c r="V28" s="5"/>
      <c r="W28" s="5">
        <f>S28/T28</f>
        <v>2.3408239700374533</v>
      </c>
      <c r="X28" s="19"/>
      <c r="Y28" s="5">
        <f>AA28*(0.906-(0.044*Z28/G29))</f>
        <v>4.2606120000000001</v>
      </c>
      <c r="Z28" s="5">
        <v>3.8</v>
      </c>
      <c r="AA28" s="5">
        <v>4.83</v>
      </c>
      <c r="AB28" s="5">
        <v>3.8</v>
      </c>
      <c r="AC28" s="5">
        <v>3.49</v>
      </c>
      <c r="AD28" s="13"/>
      <c r="AE28" s="13"/>
      <c r="AF28" s="19"/>
      <c r="AG28" s="19"/>
      <c r="AH28" s="20"/>
    </row>
    <row r="29" spans="1:34" x14ac:dyDescent="0.4">
      <c r="A29" s="3"/>
      <c r="C29" s="2">
        <v>7</v>
      </c>
      <c r="D29" s="2"/>
      <c r="E29" s="5"/>
      <c r="F29" s="5"/>
      <c r="G29" s="5">
        <v>7</v>
      </c>
      <c r="H29" s="5">
        <v>1.42</v>
      </c>
      <c r="I29" s="5"/>
      <c r="J29" s="5"/>
      <c r="K29" s="5">
        <f>G29/H29</f>
        <v>4.9295774647887329</v>
      </c>
      <c r="L29" s="17"/>
      <c r="M29" s="6">
        <v>75</v>
      </c>
      <c r="N29" s="13"/>
      <c r="O29" s="13">
        <v>7</v>
      </c>
      <c r="P29" s="13"/>
      <c r="Q29" s="5"/>
      <c r="R29" s="5"/>
      <c r="S29" s="5">
        <v>7</v>
      </c>
      <c r="T29" s="5">
        <v>2.35</v>
      </c>
      <c r="U29" s="5"/>
      <c r="V29" s="5"/>
      <c r="W29" s="5">
        <f>S29/T29</f>
        <v>2.978723404255319</v>
      </c>
      <c r="X29" s="19"/>
      <c r="Y29" s="5">
        <f>K29</f>
        <v>4.9295774647887329</v>
      </c>
      <c r="Z29" s="5">
        <v>2.9</v>
      </c>
      <c r="AA29" s="5">
        <v>6.29</v>
      </c>
      <c r="AB29" s="5">
        <v>2.7</v>
      </c>
      <c r="AC29" s="5">
        <v>4.66</v>
      </c>
      <c r="AD29" s="13"/>
      <c r="AE29" s="13"/>
      <c r="AF29" s="19"/>
      <c r="AG29" s="19"/>
      <c r="AH29" s="20"/>
    </row>
    <row r="30" spans="1:34" x14ac:dyDescent="0.4">
      <c r="A30" s="3"/>
      <c r="C30" s="2">
        <v>12</v>
      </c>
      <c r="D30" s="2"/>
      <c r="E30" s="5"/>
      <c r="F30" s="5"/>
      <c r="G30" s="5"/>
      <c r="H30" s="5"/>
      <c r="I30" s="5"/>
      <c r="J30" s="5"/>
      <c r="K30" s="5"/>
      <c r="L30" s="17"/>
      <c r="M30" s="6">
        <v>75</v>
      </c>
      <c r="N30" s="13"/>
      <c r="O30" s="13">
        <v>12</v>
      </c>
      <c r="P30" s="13"/>
      <c r="Q30" s="5"/>
      <c r="R30" s="5"/>
      <c r="S30" s="5"/>
      <c r="T30" s="5"/>
      <c r="U30" s="5"/>
      <c r="V30" s="5"/>
      <c r="W30" s="5"/>
      <c r="X30" s="19"/>
      <c r="Y30" s="17"/>
      <c r="Z30" s="5">
        <v>3.4</v>
      </c>
      <c r="AA30" s="5">
        <v>7.92</v>
      </c>
      <c r="AB30" s="5">
        <v>3.3</v>
      </c>
      <c r="AC30" s="5">
        <v>6.37</v>
      </c>
      <c r="AD30" s="13"/>
      <c r="AE30" s="13"/>
      <c r="AF30" s="19"/>
      <c r="AG30" s="19"/>
      <c r="AH30" s="20"/>
    </row>
    <row r="31" spans="1:34" x14ac:dyDescent="0.4">
      <c r="A31" s="8"/>
      <c r="B31" s="8"/>
      <c r="C31" s="9"/>
      <c r="D31" s="9"/>
      <c r="E31" s="18"/>
      <c r="F31" s="18"/>
      <c r="G31" s="18"/>
      <c r="H31" s="18"/>
      <c r="I31" s="18"/>
      <c r="J31" s="18"/>
      <c r="K31" s="18"/>
      <c r="L31" s="18"/>
      <c r="M31" s="18"/>
      <c r="N31" s="14"/>
      <c r="O31" s="14"/>
      <c r="P31" s="14"/>
      <c r="Q31" s="18"/>
      <c r="R31" s="18"/>
      <c r="S31" s="18"/>
      <c r="T31" s="18"/>
      <c r="U31" s="18"/>
      <c r="V31" s="18"/>
      <c r="W31" s="18"/>
      <c r="X31" s="18"/>
      <c r="Y31" s="22"/>
      <c r="Z31" s="22"/>
      <c r="AA31" s="22"/>
      <c r="AB31" s="22"/>
      <c r="AC31" s="22"/>
      <c r="AD31" s="14"/>
      <c r="AE31" s="14"/>
      <c r="AF31" s="18"/>
      <c r="AG31" s="18"/>
      <c r="AH31" s="18"/>
    </row>
    <row r="32" spans="1:34" x14ac:dyDescent="0.4">
      <c r="A32" s="3" t="s">
        <v>51</v>
      </c>
      <c r="B32" s="1" t="s">
        <v>45</v>
      </c>
      <c r="C32" s="4">
        <v>-25</v>
      </c>
      <c r="D32" s="2"/>
      <c r="E32" s="5"/>
      <c r="F32" s="5"/>
      <c r="G32" s="5">
        <v>4.75</v>
      </c>
      <c r="H32" s="5">
        <v>2.5299999999999998</v>
      </c>
      <c r="I32" s="5"/>
      <c r="J32" s="5"/>
      <c r="K32" s="5">
        <f>G32/H32</f>
        <v>1.8774703557312253</v>
      </c>
      <c r="L32" s="17"/>
      <c r="M32" s="6">
        <v>55</v>
      </c>
      <c r="N32" s="13"/>
      <c r="O32" s="4">
        <v>-25</v>
      </c>
      <c r="P32" s="13"/>
      <c r="Q32" s="5"/>
      <c r="R32" s="5"/>
      <c r="S32" s="5">
        <v>3.95</v>
      </c>
      <c r="T32" s="5">
        <v>2.78</v>
      </c>
      <c r="U32" s="5"/>
      <c r="V32" s="5"/>
      <c r="W32" s="5">
        <f>S32/T32</f>
        <v>1.4208633093525183</v>
      </c>
      <c r="X32" s="4">
        <v>6</v>
      </c>
      <c r="Y32" s="17"/>
      <c r="Z32" s="5"/>
      <c r="AA32" s="5"/>
      <c r="AB32" s="5"/>
      <c r="AC32" s="5"/>
      <c r="AD32" s="13"/>
      <c r="AE32" s="13" t="s">
        <v>37</v>
      </c>
      <c r="AF32" s="7">
        <v>7</v>
      </c>
      <c r="AG32" s="7">
        <v>2.31</v>
      </c>
      <c r="AH32" s="7">
        <f>AF32/AG32</f>
        <v>3.0303030303030303</v>
      </c>
    </row>
    <row r="33" spans="1:34" x14ac:dyDescent="0.4">
      <c r="A33" s="46" t="s">
        <v>60</v>
      </c>
      <c r="C33" s="13">
        <v>-20</v>
      </c>
      <c r="D33" s="2"/>
      <c r="E33" s="5"/>
      <c r="F33" s="5"/>
      <c r="G33" s="5">
        <v>5.5</v>
      </c>
      <c r="H33" s="5">
        <v>2.56</v>
      </c>
      <c r="I33" s="5"/>
      <c r="J33" s="5"/>
      <c r="K33" s="5">
        <f>G33/H33</f>
        <v>2.1484375</v>
      </c>
      <c r="L33" s="17"/>
      <c r="M33" s="6">
        <v>55</v>
      </c>
      <c r="N33" s="13"/>
      <c r="O33" s="13">
        <v>-20</v>
      </c>
      <c r="P33" s="13"/>
      <c r="Q33" s="5"/>
      <c r="R33" s="5"/>
      <c r="S33" s="5">
        <v>4.9000000000000004</v>
      </c>
      <c r="T33" s="5">
        <v>2.97</v>
      </c>
      <c r="U33" s="5"/>
      <c r="V33" s="5"/>
      <c r="W33" s="5">
        <f>S33/T33</f>
        <v>1.6498316498316499</v>
      </c>
      <c r="X33" s="19"/>
      <c r="Y33" s="17"/>
      <c r="Z33" s="5"/>
      <c r="AA33" s="5"/>
      <c r="AB33" s="5"/>
      <c r="AC33" s="5"/>
      <c r="AD33" s="13"/>
      <c r="AE33" s="13"/>
      <c r="AF33" s="7"/>
      <c r="AG33" s="7"/>
      <c r="AH33" s="7"/>
    </row>
    <row r="34" spans="1:34" x14ac:dyDescent="0.4">
      <c r="A34" s="3"/>
      <c r="C34" s="2">
        <v>-15</v>
      </c>
      <c r="D34" s="2"/>
      <c r="E34" s="5"/>
      <c r="F34" s="5"/>
      <c r="G34" s="5">
        <v>6</v>
      </c>
      <c r="H34" s="5">
        <v>2.5</v>
      </c>
      <c r="I34" s="5"/>
      <c r="J34" s="5"/>
      <c r="K34" s="5">
        <f>G34/H34</f>
        <v>2.4</v>
      </c>
      <c r="L34" s="17"/>
      <c r="M34" s="6">
        <v>65</v>
      </c>
      <c r="N34" s="13"/>
      <c r="O34" s="13">
        <v>-15</v>
      </c>
      <c r="P34" s="13"/>
      <c r="Q34" s="5"/>
      <c r="R34" s="5"/>
      <c r="S34" s="5">
        <v>5.2</v>
      </c>
      <c r="T34" s="5">
        <v>2.89</v>
      </c>
      <c r="U34" s="5"/>
      <c r="V34" s="5"/>
      <c r="W34" s="5">
        <f>S34/T34</f>
        <v>1.7993079584775087</v>
      </c>
      <c r="X34" s="19"/>
      <c r="Y34" s="17"/>
      <c r="Z34" s="5"/>
      <c r="AA34" s="5"/>
      <c r="AB34" s="5"/>
      <c r="AC34" s="5"/>
      <c r="AD34" s="13"/>
      <c r="AE34" s="13" t="s">
        <v>38</v>
      </c>
      <c r="AF34" s="7">
        <v>8</v>
      </c>
      <c r="AG34" s="7">
        <v>2.2599999999999998</v>
      </c>
      <c r="AH34" s="7">
        <f t="shared" ref="AH34:AH35" si="3">AF34/AG34</f>
        <v>3.5398230088495577</v>
      </c>
    </row>
    <row r="35" spans="1:34" x14ac:dyDescent="0.4">
      <c r="A35" s="3"/>
      <c r="C35" s="2">
        <v>-10</v>
      </c>
      <c r="D35" s="2"/>
      <c r="E35" s="5"/>
      <c r="F35" s="5"/>
      <c r="G35" s="5"/>
      <c r="H35" s="5"/>
      <c r="I35" s="5"/>
      <c r="J35" s="5"/>
      <c r="K35" s="5"/>
      <c r="L35" s="17"/>
      <c r="M35" s="6">
        <v>65</v>
      </c>
      <c r="N35" s="13"/>
      <c r="O35" s="13">
        <v>-10</v>
      </c>
      <c r="P35" s="13"/>
      <c r="Q35" s="5"/>
      <c r="R35" s="5"/>
      <c r="S35" s="5"/>
      <c r="T35" s="5"/>
      <c r="U35" s="5"/>
      <c r="V35" s="5"/>
      <c r="W35" s="5"/>
      <c r="X35" s="19"/>
      <c r="Y35" s="17" t="s">
        <v>39</v>
      </c>
      <c r="Z35" s="5">
        <v>7</v>
      </c>
      <c r="AA35" s="5">
        <v>2.83</v>
      </c>
      <c r="AB35" s="5">
        <v>7</v>
      </c>
      <c r="AC35" s="5">
        <v>2.08</v>
      </c>
      <c r="AD35" s="13"/>
      <c r="AE35" s="13" t="s">
        <v>40</v>
      </c>
      <c r="AF35" s="7">
        <v>7</v>
      </c>
      <c r="AG35" s="7">
        <v>1.48</v>
      </c>
      <c r="AH35" s="7">
        <f t="shared" si="3"/>
        <v>4.7297297297297298</v>
      </c>
    </row>
    <row r="36" spans="1:34" x14ac:dyDescent="0.4">
      <c r="A36" s="3"/>
      <c r="C36" s="2">
        <v>-7</v>
      </c>
      <c r="D36" s="2"/>
      <c r="E36" s="5"/>
      <c r="F36" s="5"/>
      <c r="G36" s="5">
        <v>5.8</v>
      </c>
      <c r="H36" s="5">
        <v>1.93</v>
      </c>
      <c r="I36" s="5"/>
      <c r="J36" s="5"/>
      <c r="K36" s="5">
        <f>G36/H36</f>
        <v>3.0051813471502591</v>
      </c>
      <c r="L36" s="17"/>
      <c r="M36" s="6">
        <v>75</v>
      </c>
      <c r="N36" s="13"/>
      <c r="O36" s="13">
        <v>-7</v>
      </c>
      <c r="P36" s="13"/>
      <c r="Q36" s="5"/>
      <c r="R36" s="5"/>
      <c r="S36" s="5">
        <v>5.8</v>
      </c>
      <c r="T36" s="5">
        <v>2.74</v>
      </c>
      <c r="U36" s="5"/>
      <c r="V36" s="5"/>
      <c r="W36" s="5">
        <f>S36/T36</f>
        <v>2.1167883211678831</v>
      </c>
      <c r="X36" s="19"/>
      <c r="Y36" s="5">
        <f>AA36*(1.029-(0.05*Z36/G38))</f>
        <v>3.210168571428571</v>
      </c>
      <c r="Z36" s="5">
        <v>6.2</v>
      </c>
      <c r="AA36" s="5">
        <v>3.26</v>
      </c>
      <c r="AB36" s="5">
        <v>6.2</v>
      </c>
      <c r="AC36" s="5">
        <v>2.33</v>
      </c>
      <c r="AD36" s="13"/>
      <c r="AE36" s="13"/>
      <c r="AF36" s="19"/>
      <c r="AG36" s="19"/>
      <c r="AH36" s="20"/>
    </row>
    <row r="37" spans="1:34" x14ac:dyDescent="0.4">
      <c r="A37" s="3"/>
      <c r="C37" s="2">
        <v>2</v>
      </c>
      <c r="D37" s="2"/>
      <c r="E37" s="5"/>
      <c r="F37" s="5"/>
      <c r="G37" s="5">
        <v>6.85</v>
      </c>
      <c r="H37" s="5">
        <v>2</v>
      </c>
      <c r="I37" s="5"/>
      <c r="J37" s="5"/>
      <c r="K37" s="5">
        <f>G37/H37</f>
        <v>3.4249999999999998</v>
      </c>
      <c r="L37" s="17"/>
      <c r="M37" s="6">
        <v>75</v>
      </c>
      <c r="N37" s="13"/>
      <c r="O37" s="13">
        <v>2</v>
      </c>
      <c r="P37" s="13"/>
      <c r="Q37" s="5"/>
      <c r="R37" s="5"/>
      <c r="S37" s="5">
        <v>6.25</v>
      </c>
      <c r="T37" s="5">
        <v>2.67</v>
      </c>
      <c r="U37" s="5"/>
      <c r="V37" s="5"/>
      <c r="W37" s="5">
        <f>S37/T37</f>
        <v>2.3408239700374533</v>
      </c>
      <c r="X37" s="19"/>
      <c r="Y37" s="5">
        <f>AA37*(0.906-(0.044*Z37/G38))</f>
        <v>4.2606120000000001</v>
      </c>
      <c r="Z37" s="5">
        <v>3.8</v>
      </c>
      <c r="AA37" s="5">
        <v>4.83</v>
      </c>
      <c r="AB37" s="5">
        <v>3.8</v>
      </c>
      <c r="AC37" s="5">
        <v>3.49</v>
      </c>
      <c r="AD37" s="13"/>
      <c r="AE37" s="13"/>
      <c r="AF37" s="19"/>
      <c r="AG37" s="19"/>
      <c r="AH37" s="20"/>
    </row>
    <row r="38" spans="1:34" x14ac:dyDescent="0.4">
      <c r="A38" s="3"/>
      <c r="C38" s="2">
        <v>7</v>
      </c>
      <c r="D38" s="2"/>
      <c r="E38" s="5"/>
      <c r="F38" s="5"/>
      <c r="G38" s="5">
        <v>7</v>
      </c>
      <c r="H38" s="5">
        <v>1.42</v>
      </c>
      <c r="I38" s="5"/>
      <c r="J38" s="5"/>
      <c r="K38" s="5">
        <f>G38/H38</f>
        <v>4.9295774647887329</v>
      </c>
      <c r="L38" s="17"/>
      <c r="M38" s="6">
        <v>75</v>
      </c>
      <c r="N38" s="13"/>
      <c r="O38" s="13">
        <v>7</v>
      </c>
      <c r="P38" s="13"/>
      <c r="Q38" s="5"/>
      <c r="R38" s="5"/>
      <c r="S38" s="5">
        <v>7</v>
      </c>
      <c r="T38" s="5">
        <v>2.35</v>
      </c>
      <c r="U38" s="5"/>
      <c r="V38" s="5"/>
      <c r="W38" s="5">
        <f>S38/T38</f>
        <v>2.978723404255319</v>
      </c>
      <c r="X38" s="19"/>
      <c r="Y38" s="5">
        <f>K38</f>
        <v>4.9295774647887329</v>
      </c>
      <c r="Z38" s="5">
        <v>2.9</v>
      </c>
      <c r="AA38" s="5">
        <v>6.29</v>
      </c>
      <c r="AB38" s="5">
        <v>2.7</v>
      </c>
      <c r="AC38" s="5">
        <v>4.66</v>
      </c>
      <c r="AD38" s="13"/>
      <c r="AE38" s="13"/>
      <c r="AF38" s="19"/>
      <c r="AG38" s="19"/>
      <c r="AH38" s="20"/>
    </row>
    <row r="39" spans="1:34" x14ac:dyDescent="0.4">
      <c r="A39" s="3"/>
      <c r="C39" s="2">
        <v>12</v>
      </c>
      <c r="D39" s="2"/>
      <c r="E39" s="5"/>
      <c r="F39" s="5"/>
      <c r="G39" s="5"/>
      <c r="H39" s="5"/>
      <c r="I39" s="5"/>
      <c r="J39" s="5"/>
      <c r="K39" s="5"/>
      <c r="L39" s="17"/>
      <c r="M39" s="6">
        <v>75</v>
      </c>
      <c r="N39" s="13"/>
      <c r="O39" s="13">
        <v>12</v>
      </c>
      <c r="P39" s="13"/>
      <c r="Q39" s="5"/>
      <c r="R39" s="5"/>
      <c r="S39" s="5"/>
      <c r="T39" s="5"/>
      <c r="U39" s="5"/>
      <c r="V39" s="5"/>
      <c r="W39" s="5"/>
      <c r="X39" s="19"/>
      <c r="Y39" s="17"/>
      <c r="Z39" s="5">
        <v>3.4</v>
      </c>
      <c r="AA39" s="5">
        <v>7.92</v>
      </c>
      <c r="AB39" s="5">
        <v>3.3</v>
      </c>
      <c r="AC39" s="5">
        <v>6.37</v>
      </c>
      <c r="AD39" s="13"/>
      <c r="AE39" s="13"/>
      <c r="AF39" s="19"/>
      <c r="AG39" s="19"/>
      <c r="AH39" s="20"/>
    </row>
    <row r="40" spans="1:34" x14ac:dyDescent="0.4">
      <c r="A40" s="8"/>
      <c r="B40" s="8"/>
      <c r="C40" s="9"/>
      <c r="D40" s="9"/>
      <c r="E40" s="18"/>
      <c r="F40" s="18"/>
      <c r="G40" s="18"/>
      <c r="H40" s="18"/>
      <c r="I40" s="18"/>
      <c r="J40" s="18"/>
      <c r="K40" s="18"/>
      <c r="L40" s="18"/>
      <c r="M40" s="18"/>
      <c r="N40" s="14"/>
      <c r="O40" s="14"/>
      <c r="P40" s="14"/>
      <c r="Q40" s="18"/>
      <c r="R40" s="18"/>
      <c r="S40" s="18"/>
      <c r="T40" s="18"/>
      <c r="U40" s="18"/>
      <c r="V40" s="18"/>
      <c r="W40" s="18"/>
      <c r="X40" s="18"/>
      <c r="Y40" s="22"/>
      <c r="Z40" s="22"/>
      <c r="AA40" s="22"/>
      <c r="AB40" s="22"/>
      <c r="AC40" s="22"/>
      <c r="AD40" s="14"/>
      <c r="AE40" s="14"/>
      <c r="AF40" s="18"/>
      <c r="AG40" s="18"/>
      <c r="AH40" s="18"/>
    </row>
    <row r="41" spans="1:34" x14ac:dyDescent="0.4">
      <c r="A41" s="3" t="s">
        <v>52</v>
      </c>
      <c r="B41" s="1" t="s">
        <v>46</v>
      </c>
      <c r="C41" s="4">
        <v>-25</v>
      </c>
      <c r="D41" s="2"/>
      <c r="E41" s="5"/>
      <c r="F41" s="5"/>
      <c r="G41" s="5">
        <v>6.05</v>
      </c>
      <c r="H41" s="5">
        <v>3.43</v>
      </c>
      <c r="I41" s="5"/>
      <c r="J41" s="5"/>
      <c r="K41" s="5">
        <f>G41/H41</f>
        <v>1.7638483965014575</v>
      </c>
      <c r="L41" s="17"/>
      <c r="M41" s="6">
        <v>55</v>
      </c>
      <c r="N41" s="13"/>
      <c r="O41" s="4">
        <v>-25</v>
      </c>
      <c r="P41" s="13"/>
      <c r="Q41" s="5"/>
      <c r="R41" s="5"/>
      <c r="S41" s="5">
        <v>4.6500000000000004</v>
      </c>
      <c r="T41" s="5">
        <v>3.15</v>
      </c>
      <c r="U41" s="5"/>
      <c r="V41" s="5"/>
      <c r="W41" s="5">
        <f>S41/T41</f>
        <v>1.4761904761904763</v>
      </c>
      <c r="X41" s="4">
        <v>3</v>
      </c>
      <c r="Y41" s="17"/>
      <c r="Z41" s="5"/>
      <c r="AA41" s="5"/>
      <c r="AB41" s="5"/>
      <c r="AC41" s="5"/>
      <c r="AD41" s="13"/>
      <c r="AE41" s="13" t="s">
        <v>37</v>
      </c>
      <c r="AF41" s="7">
        <v>8.1999999999999993</v>
      </c>
      <c r="AG41" s="7">
        <v>2.91</v>
      </c>
      <c r="AH41" s="7">
        <f>AF41/AG41</f>
        <v>2.8178694158075599</v>
      </c>
    </row>
    <row r="42" spans="1:34" x14ac:dyDescent="0.4">
      <c r="A42" s="46" t="s">
        <v>60</v>
      </c>
      <c r="C42" s="13">
        <v>-20</v>
      </c>
      <c r="D42" s="2"/>
      <c r="E42" s="5"/>
      <c r="F42" s="5"/>
      <c r="G42" s="5">
        <v>7</v>
      </c>
      <c r="H42" s="5">
        <v>3.56</v>
      </c>
      <c r="I42" s="5"/>
      <c r="J42" s="5"/>
      <c r="K42" s="5">
        <f>G42/H42</f>
        <v>1.9662921348314606</v>
      </c>
      <c r="L42" s="17"/>
      <c r="M42" s="6">
        <v>55</v>
      </c>
      <c r="N42" s="13"/>
      <c r="O42" s="13">
        <v>-20</v>
      </c>
      <c r="P42" s="13"/>
      <c r="Q42" s="5"/>
      <c r="R42" s="5"/>
      <c r="S42" s="5">
        <v>5.6</v>
      </c>
      <c r="T42" s="5">
        <v>3.43</v>
      </c>
      <c r="U42" s="5"/>
      <c r="V42" s="5"/>
      <c r="W42" s="5">
        <f>S42/T42</f>
        <v>1.6326530612244896</v>
      </c>
      <c r="X42" s="19"/>
      <c r="Y42" s="17"/>
      <c r="Z42" s="5"/>
      <c r="AA42" s="5"/>
      <c r="AB42" s="5"/>
      <c r="AC42" s="5"/>
      <c r="AD42" s="13"/>
      <c r="AE42" s="13"/>
      <c r="AF42" s="7"/>
      <c r="AG42" s="7"/>
      <c r="AH42" s="7"/>
    </row>
    <row r="43" spans="1:34" x14ac:dyDescent="0.4">
      <c r="A43" s="3"/>
      <c r="C43" s="2">
        <v>-15</v>
      </c>
      <c r="D43" s="2"/>
      <c r="E43" s="5"/>
      <c r="F43" s="5"/>
      <c r="G43" s="5">
        <v>7.4</v>
      </c>
      <c r="H43" s="5">
        <v>3.2</v>
      </c>
      <c r="I43" s="5"/>
      <c r="J43" s="5"/>
      <c r="K43" s="5">
        <v>2.31</v>
      </c>
      <c r="L43" s="17"/>
      <c r="M43" s="6">
        <v>65</v>
      </c>
      <c r="N43" s="13"/>
      <c r="O43" s="13">
        <v>-15</v>
      </c>
      <c r="P43" s="13"/>
      <c r="Q43" s="5"/>
      <c r="R43" s="5"/>
      <c r="S43" s="5">
        <v>6.3</v>
      </c>
      <c r="T43" s="5">
        <v>3.55</v>
      </c>
      <c r="U43" s="5"/>
      <c r="V43" s="5"/>
      <c r="W43" s="5">
        <f>S43/T43</f>
        <v>1.7746478873239437</v>
      </c>
      <c r="X43" s="19"/>
      <c r="Y43" s="17"/>
      <c r="Z43" s="5"/>
      <c r="AA43" s="5"/>
      <c r="AB43" s="5"/>
      <c r="AC43" s="5"/>
      <c r="AD43" s="13"/>
      <c r="AE43" s="13" t="s">
        <v>38</v>
      </c>
      <c r="AF43" s="7">
        <v>10</v>
      </c>
      <c r="AG43" s="7">
        <v>3.1</v>
      </c>
      <c r="AH43" s="7">
        <f t="shared" ref="AH43:AH44" si="4">AF43/AG43</f>
        <v>3.225806451612903</v>
      </c>
    </row>
    <row r="44" spans="1:34" x14ac:dyDescent="0.4">
      <c r="A44" s="3"/>
      <c r="C44" s="2">
        <v>-10</v>
      </c>
      <c r="D44" s="2"/>
      <c r="E44" s="5"/>
      <c r="F44" s="5"/>
      <c r="G44" s="5"/>
      <c r="H44" s="5"/>
      <c r="I44" s="5"/>
      <c r="J44" s="5"/>
      <c r="K44" s="5"/>
      <c r="L44" s="17"/>
      <c r="M44" s="6">
        <v>65</v>
      </c>
      <c r="N44" s="13"/>
      <c r="O44" s="13">
        <v>-10</v>
      </c>
      <c r="P44" s="13"/>
      <c r="Q44" s="5"/>
      <c r="R44" s="5"/>
      <c r="S44" s="5"/>
      <c r="T44" s="5"/>
      <c r="U44" s="5"/>
      <c r="V44" s="5"/>
      <c r="W44" s="5"/>
      <c r="X44" s="19"/>
      <c r="Y44" s="17" t="s">
        <v>39</v>
      </c>
      <c r="Z44" s="5">
        <v>8</v>
      </c>
      <c r="AA44" s="5">
        <v>2.57</v>
      </c>
      <c r="AB44" s="5">
        <v>7.5</v>
      </c>
      <c r="AC44" s="5">
        <v>1.98</v>
      </c>
      <c r="AD44" s="13"/>
      <c r="AE44" s="13" t="s">
        <v>40</v>
      </c>
      <c r="AF44" s="7">
        <v>9</v>
      </c>
      <c r="AG44" s="7">
        <v>2.15</v>
      </c>
      <c r="AH44" s="7">
        <f t="shared" si="4"/>
        <v>4.1860465116279073</v>
      </c>
    </row>
    <row r="45" spans="1:34" x14ac:dyDescent="0.4">
      <c r="A45" s="3"/>
      <c r="C45" s="2">
        <v>-7</v>
      </c>
      <c r="D45" s="2"/>
      <c r="E45" s="5"/>
      <c r="F45" s="5"/>
      <c r="G45" s="5">
        <v>7</v>
      </c>
      <c r="H45" s="5">
        <v>2.5</v>
      </c>
      <c r="I45" s="5"/>
      <c r="J45" s="5"/>
      <c r="K45" s="5">
        <v>2.84</v>
      </c>
      <c r="L45" s="17"/>
      <c r="M45" s="6">
        <v>75</v>
      </c>
      <c r="N45" s="13"/>
      <c r="O45" s="13">
        <v>-7</v>
      </c>
      <c r="P45" s="13"/>
      <c r="Q45" s="5"/>
      <c r="R45" s="5"/>
      <c r="S45" s="5">
        <v>7</v>
      </c>
      <c r="T45" s="5">
        <v>3.29</v>
      </c>
      <c r="U45" s="5"/>
      <c r="V45" s="5"/>
      <c r="W45" s="5">
        <f>S45/T45</f>
        <v>2.1276595744680851</v>
      </c>
      <c r="X45" s="19"/>
      <c r="Y45" s="5">
        <f>AA45*(1.029-(0.05*Z45/G47))</f>
        <v>2.8004422222222223</v>
      </c>
      <c r="Z45" s="5">
        <v>7.1</v>
      </c>
      <c r="AA45" s="5">
        <v>2.83</v>
      </c>
      <c r="AB45" s="5">
        <v>7.1</v>
      </c>
      <c r="AC45" s="5">
        <v>2.2799999999999998</v>
      </c>
      <c r="AD45" s="13"/>
      <c r="AE45" s="13"/>
      <c r="AF45" s="19"/>
      <c r="AG45" s="19"/>
      <c r="AH45" s="21"/>
    </row>
    <row r="46" spans="1:34" x14ac:dyDescent="0.4">
      <c r="A46" s="3"/>
      <c r="C46" s="2">
        <v>2</v>
      </c>
      <c r="D46" s="2"/>
      <c r="E46" s="5"/>
      <c r="F46" s="5"/>
      <c r="G46" s="5">
        <v>7</v>
      </c>
      <c r="H46" s="5">
        <v>2.0499999999999998</v>
      </c>
      <c r="I46" s="5"/>
      <c r="J46" s="5"/>
      <c r="K46" s="5">
        <v>3.4</v>
      </c>
      <c r="L46" s="17"/>
      <c r="M46" s="6">
        <v>75</v>
      </c>
      <c r="N46" s="13"/>
      <c r="O46" s="13">
        <v>2</v>
      </c>
      <c r="P46" s="13"/>
      <c r="Q46" s="5"/>
      <c r="R46" s="5"/>
      <c r="S46" s="5">
        <v>7</v>
      </c>
      <c r="T46" s="5">
        <v>2.9</v>
      </c>
      <c r="U46" s="5"/>
      <c r="V46" s="5"/>
      <c r="W46" s="5">
        <f>S46/T46</f>
        <v>2.4137931034482758</v>
      </c>
      <c r="X46" s="19"/>
      <c r="Y46" s="5">
        <f>AA46*(0.906-(0.044*Z46/G47))</f>
        <v>4.3275413333333335</v>
      </c>
      <c r="Z46" s="5">
        <v>4.3</v>
      </c>
      <c r="AA46" s="5">
        <v>4.8899999999999997</v>
      </c>
      <c r="AB46" s="5">
        <v>4.3</v>
      </c>
      <c r="AC46" s="5">
        <v>3.6</v>
      </c>
      <c r="AD46" s="13"/>
      <c r="AE46" s="13"/>
      <c r="AF46" s="19"/>
      <c r="AG46" s="19"/>
      <c r="AH46" s="21"/>
    </row>
    <row r="47" spans="1:34" x14ac:dyDescent="0.4">
      <c r="A47" s="3"/>
      <c r="C47" s="2">
        <v>7</v>
      </c>
      <c r="D47" s="2"/>
      <c r="E47" s="5"/>
      <c r="F47" s="5"/>
      <c r="G47" s="5">
        <v>9</v>
      </c>
      <c r="H47" s="5">
        <v>1.98</v>
      </c>
      <c r="I47" s="5"/>
      <c r="J47" s="5"/>
      <c r="K47" s="5">
        <v>4.55</v>
      </c>
      <c r="L47" s="17"/>
      <c r="M47" s="6">
        <v>75</v>
      </c>
      <c r="N47" s="13"/>
      <c r="O47" s="13">
        <v>7</v>
      </c>
      <c r="P47" s="13"/>
      <c r="Q47" s="5"/>
      <c r="R47" s="5"/>
      <c r="S47" s="5">
        <v>8.9</v>
      </c>
      <c r="T47" s="5">
        <v>2.94</v>
      </c>
      <c r="U47" s="5"/>
      <c r="V47" s="5"/>
      <c r="W47" s="5">
        <f>S47/T47</f>
        <v>3.0272108843537415</v>
      </c>
      <c r="X47" s="19"/>
      <c r="Y47" s="5">
        <f>K47</f>
        <v>4.55</v>
      </c>
      <c r="Z47" s="5">
        <v>2.8</v>
      </c>
      <c r="AA47" s="5">
        <v>6.21</v>
      </c>
      <c r="AB47" s="5">
        <v>2.8</v>
      </c>
      <c r="AC47" s="5">
        <v>4.72</v>
      </c>
      <c r="AD47" s="13"/>
      <c r="AE47" s="13"/>
      <c r="AF47" s="19"/>
      <c r="AG47" s="19"/>
      <c r="AH47" s="21"/>
    </row>
    <row r="48" spans="1:34" x14ac:dyDescent="0.4">
      <c r="A48" s="3"/>
      <c r="C48" s="2">
        <v>12</v>
      </c>
      <c r="D48" s="2"/>
      <c r="E48" s="5"/>
      <c r="F48" s="5"/>
      <c r="G48" s="5"/>
      <c r="H48" s="5"/>
      <c r="I48" s="5"/>
      <c r="J48" s="5"/>
      <c r="K48" s="5"/>
      <c r="L48" s="17"/>
      <c r="M48" s="6">
        <v>75</v>
      </c>
      <c r="N48" s="13"/>
      <c r="O48" s="13">
        <v>12</v>
      </c>
      <c r="P48" s="13"/>
      <c r="Q48" s="5"/>
      <c r="R48" s="5"/>
      <c r="S48" s="5"/>
      <c r="T48" s="5"/>
      <c r="U48" s="5"/>
      <c r="V48" s="5"/>
      <c r="W48" s="5"/>
      <c r="X48" s="19"/>
      <c r="Y48" s="17"/>
      <c r="Z48" s="5">
        <v>3.3</v>
      </c>
      <c r="AA48" s="5">
        <v>7.45</v>
      </c>
      <c r="AB48" s="5">
        <v>3.2</v>
      </c>
      <c r="AC48" s="5">
        <v>6.12</v>
      </c>
      <c r="AD48" s="13"/>
      <c r="AE48" s="13"/>
      <c r="AF48" s="19"/>
      <c r="AG48" s="19"/>
      <c r="AH48" s="21"/>
    </row>
    <row r="49" spans="1:34" x14ac:dyDescent="0.4">
      <c r="A49" s="8"/>
      <c r="B49" s="8"/>
      <c r="C49" s="9"/>
      <c r="D49" s="9"/>
      <c r="E49" s="18"/>
      <c r="F49" s="18"/>
      <c r="G49" s="18"/>
      <c r="H49" s="18"/>
      <c r="I49" s="18"/>
      <c r="J49" s="18"/>
      <c r="K49" s="18"/>
      <c r="L49" s="18"/>
      <c r="M49" s="18"/>
      <c r="N49" s="14"/>
      <c r="O49" s="14"/>
      <c r="P49" s="14"/>
      <c r="Q49" s="18"/>
      <c r="R49" s="18"/>
      <c r="S49" s="18"/>
      <c r="T49" s="18"/>
      <c r="U49" s="18"/>
      <c r="V49" s="18"/>
      <c r="W49" s="18"/>
      <c r="X49" s="18"/>
      <c r="Y49" s="22"/>
      <c r="Z49" s="22"/>
      <c r="AA49" s="22"/>
      <c r="AB49" s="22"/>
      <c r="AC49" s="22"/>
      <c r="AD49" s="14"/>
      <c r="AE49" s="14"/>
      <c r="AF49" s="18"/>
      <c r="AG49" s="18"/>
      <c r="AH49" s="22"/>
    </row>
    <row r="50" spans="1:34" x14ac:dyDescent="0.4">
      <c r="A50" s="3" t="s">
        <v>51</v>
      </c>
      <c r="B50" s="1" t="s">
        <v>46</v>
      </c>
      <c r="C50" s="4">
        <v>-25</v>
      </c>
      <c r="D50" s="2"/>
      <c r="E50" s="5"/>
      <c r="F50" s="5"/>
      <c r="G50" s="5">
        <v>6.05</v>
      </c>
      <c r="H50" s="5">
        <v>3.43</v>
      </c>
      <c r="I50" s="5"/>
      <c r="J50" s="5"/>
      <c r="K50" s="5">
        <f>G50/H50</f>
        <v>1.7638483965014575</v>
      </c>
      <c r="L50" s="17"/>
      <c r="M50" s="6">
        <v>55</v>
      </c>
      <c r="N50" s="13"/>
      <c r="O50" s="4">
        <v>-25</v>
      </c>
      <c r="P50" s="13"/>
      <c r="Q50" s="5"/>
      <c r="R50" s="5"/>
      <c r="S50" s="5">
        <v>4.6500000000000004</v>
      </c>
      <c r="T50" s="5">
        <v>3.15</v>
      </c>
      <c r="U50" s="5"/>
      <c r="V50" s="5"/>
      <c r="W50" s="5">
        <f>S50/T50</f>
        <v>1.4761904761904763</v>
      </c>
      <c r="X50" s="4">
        <v>6</v>
      </c>
      <c r="Y50" s="17"/>
      <c r="Z50" s="5"/>
      <c r="AA50" s="5"/>
      <c r="AB50" s="5"/>
      <c r="AC50" s="5"/>
      <c r="AD50" s="13"/>
      <c r="AE50" s="13" t="s">
        <v>37</v>
      </c>
      <c r="AF50" s="7">
        <v>8.1999999999999993</v>
      </c>
      <c r="AG50" s="7">
        <v>2.91</v>
      </c>
      <c r="AH50" s="7">
        <f>AF50/AG50</f>
        <v>2.8178694158075599</v>
      </c>
    </row>
    <row r="51" spans="1:34" x14ac:dyDescent="0.4">
      <c r="A51" s="46" t="s">
        <v>60</v>
      </c>
      <c r="C51" s="13">
        <v>-20</v>
      </c>
      <c r="D51" s="2"/>
      <c r="E51" s="5"/>
      <c r="F51" s="5"/>
      <c r="G51" s="5">
        <v>7</v>
      </c>
      <c r="H51" s="5">
        <v>3.56</v>
      </c>
      <c r="I51" s="5"/>
      <c r="J51" s="5"/>
      <c r="K51" s="5">
        <f>G51/H51</f>
        <v>1.9662921348314606</v>
      </c>
      <c r="L51" s="17"/>
      <c r="M51" s="6">
        <v>55</v>
      </c>
      <c r="N51" s="13"/>
      <c r="O51" s="13">
        <v>-20</v>
      </c>
      <c r="P51" s="13"/>
      <c r="Q51" s="5"/>
      <c r="R51" s="5"/>
      <c r="S51" s="5">
        <v>5.6</v>
      </c>
      <c r="T51" s="5">
        <v>3.43</v>
      </c>
      <c r="U51" s="5"/>
      <c r="V51" s="5"/>
      <c r="W51" s="5">
        <f>S51/T51</f>
        <v>1.6326530612244896</v>
      </c>
      <c r="X51" s="19"/>
      <c r="Y51" s="17"/>
      <c r="Z51" s="5"/>
      <c r="AA51" s="5"/>
      <c r="AB51" s="5"/>
      <c r="AC51" s="5"/>
      <c r="AD51" s="13"/>
      <c r="AE51" s="13"/>
      <c r="AF51" s="7"/>
      <c r="AG51" s="7"/>
      <c r="AH51" s="7"/>
    </row>
    <row r="52" spans="1:34" x14ac:dyDescent="0.4">
      <c r="A52" s="3"/>
      <c r="C52" s="2">
        <v>-15</v>
      </c>
      <c r="D52" s="2"/>
      <c r="E52" s="5"/>
      <c r="F52" s="5"/>
      <c r="G52" s="5">
        <v>7.4</v>
      </c>
      <c r="H52" s="5">
        <v>3.2</v>
      </c>
      <c r="I52" s="5"/>
      <c r="J52" s="5"/>
      <c r="K52" s="5">
        <v>2.31</v>
      </c>
      <c r="L52" s="17"/>
      <c r="M52" s="6">
        <v>65</v>
      </c>
      <c r="N52" s="13"/>
      <c r="O52" s="13">
        <v>-15</v>
      </c>
      <c r="P52" s="13"/>
      <c r="Q52" s="5"/>
      <c r="R52" s="5"/>
      <c r="S52" s="5">
        <v>6.3</v>
      </c>
      <c r="T52" s="5">
        <v>3.55</v>
      </c>
      <c r="U52" s="5"/>
      <c r="V52" s="5"/>
      <c r="W52" s="5">
        <f>S52/T52</f>
        <v>1.7746478873239437</v>
      </c>
      <c r="X52" s="19"/>
      <c r="Y52" s="17"/>
      <c r="Z52" s="5"/>
      <c r="AA52" s="5"/>
      <c r="AB52" s="5"/>
      <c r="AC52" s="5"/>
      <c r="AD52" s="13"/>
      <c r="AE52" s="13" t="s">
        <v>38</v>
      </c>
      <c r="AF52" s="7">
        <v>10</v>
      </c>
      <c r="AG52" s="7">
        <v>3.1</v>
      </c>
      <c r="AH52" s="7">
        <f t="shared" ref="AH52:AH53" si="5">AF52/AG52</f>
        <v>3.225806451612903</v>
      </c>
    </row>
    <row r="53" spans="1:34" x14ac:dyDescent="0.4">
      <c r="A53" s="3"/>
      <c r="C53" s="2">
        <v>-10</v>
      </c>
      <c r="D53" s="2"/>
      <c r="E53" s="5"/>
      <c r="F53" s="5"/>
      <c r="G53" s="5"/>
      <c r="H53" s="5"/>
      <c r="I53" s="5"/>
      <c r="J53" s="5"/>
      <c r="K53" s="5"/>
      <c r="L53" s="17"/>
      <c r="M53" s="6">
        <v>65</v>
      </c>
      <c r="N53" s="13"/>
      <c r="O53" s="13">
        <v>-10</v>
      </c>
      <c r="P53" s="13"/>
      <c r="Q53" s="5"/>
      <c r="R53" s="5"/>
      <c r="S53" s="5"/>
      <c r="T53" s="5"/>
      <c r="U53" s="5"/>
      <c r="V53" s="5"/>
      <c r="W53" s="5"/>
      <c r="X53" s="19"/>
      <c r="Y53" s="17" t="s">
        <v>39</v>
      </c>
      <c r="Z53" s="5">
        <v>8</v>
      </c>
      <c r="AA53" s="5">
        <v>2.57</v>
      </c>
      <c r="AB53" s="5">
        <v>7.5</v>
      </c>
      <c r="AC53" s="5">
        <v>1.98</v>
      </c>
      <c r="AD53" s="13"/>
      <c r="AE53" s="13" t="s">
        <v>40</v>
      </c>
      <c r="AF53" s="7">
        <v>9</v>
      </c>
      <c r="AG53" s="7">
        <v>2.15</v>
      </c>
      <c r="AH53" s="7">
        <f t="shared" si="5"/>
        <v>4.1860465116279073</v>
      </c>
    </row>
    <row r="54" spans="1:34" x14ac:dyDescent="0.4">
      <c r="A54" s="3"/>
      <c r="C54" s="2">
        <v>-7</v>
      </c>
      <c r="D54" s="2"/>
      <c r="E54" s="5"/>
      <c r="F54" s="5"/>
      <c r="G54" s="5">
        <v>7</v>
      </c>
      <c r="H54" s="5">
        <v>2.5</v>
      </c>
      <c r="I54" s="5"/>
      <c r="J54" s="5"/>
      <c r="K54" s="5">
        <v>2.84</v>
      </c>
      <c r="L54" s="17"/>
      <c r="M54" s="6">
        <v>75</v>
      </c>
      <c r="N54" s="13"/>
      <c r="O54" s="13">
        <v>-7</v>
      </c>
      <c r="P54" s="13"/>
      <c r="Q54" s="5"/>
      <c r="R54" s="5"/>
      <c r="S54" s="5">
        <v>7</v>
      </c>
      <c r="T54" s="5">
        <v>3.29</v>
      </c>
      <c r="U54" s="5"/>
      <c r="V54" s="5"/>
      <c r="W54" s="5">
        <f>S54/T54</f>
        <v>2.1276595744680851</v>
      </c>
      <c r="X54" s="19"/>
      <c r="Y54" s="5">
        <f>AA54*(1.029-(0.05*Z54/G56))</f>
        <v>2.8004422222222223</v>
      </c>
      <c r="Z54" s="5">
        <v>7.1</v>
      </c>
      <c r="AA54" s="5">
        <v>2.83</v>
      </c>
      <c r="AB54" s="5">
        <v>7.1</v>
      </c>
      <c r="AC54" s="5">
        <v>2.2799999999999998</v>
      </c>
      <c r="AD54" s="13"/>
      <c r="AE54" s="13"/>
      <c r="AF54" s="13"/>
      <c r="AG54" s="13"/>
      <c r="AH54" s="15"/>
    </row>
    <row r="55" spans="1:34" x14ac:dyDescent="0.4">
      <c r="A55" s="3"/>
      <c r="C55" s="2">
        <v>2</v>
      </c>
      <c r="D55" s="2"/>
      <c r="E55" s="5"/>
      <c r="F55" s="5"/>
      <c r="G55" s="5">
        <v>7</v>
      </c>
      <c r="H55" s="5">
        <v>2.0499999999999998</v>
      </c>
      <c r="I55" s="5"/>
      <c r="J55" s="5"/>
      <c r="K55" s="5">
        <v>3.4</v>
      </c>
      <c r="L55" s="17"/>
      <c r="M55" s="6">
        <v>75</v>
      </c>
      <c r="N55" s="13"/>
      <c r="O55" s="13">
        <v>2</v>
      </c>
      <c r="P55" s="13"/>
      <c r="Q55" s="5"/>
      <c r="R55" s="5"/>
      <c r="S55" s="5">
        <v>7</v>
      </c>
      <c r="T55" s="5">
        <v>2.9</v>
      </c>
      <c r="U55" s="5"/>
      <c r="V55" s="5"/>
      <c r="W55" s="5">
        <f>S55/T55</f>
        <v>2.4137931034482758</v>
      </c>
      <c r="X55" s="19"/>
      <c r="Y55" s="5">
        <f>AA55*(0.906-(0.044*Z55/G56))</f>
        <v>4.3275413333333335</v>
      </c>
      <c r="Z55" s="5">
        <v>4.3</v>
      </c>
      <c r="AA55" s="5">
        <v>4.8899999999999997</v>
      </c>
      <c r="AB55" s="5">
        <v>4.3</v>
      </c>
      <c r="AC55" s="5">
        <v>3.6</v>
      </c>
      <c r="AD55" s="13"/>
      <c r="AE55" s="13"/>
      <c r="AF55" s="13"/>
      <c r="AG55" s="13"/>
      <c r="AH55" s="15"/>
    </row>
    <row r="56" spans="1:34" x14ac:dyDescent="0.4">
      <c r="A56" s="3"/>
      <c r="C56" s="2">
        <v>7</v>
      </c>
      <c r="D56" s="2"/>
      <c r="E56" s="5"/>
      <c r="F56" s="5"/>
      <c r="G56" s="5">
        <v>9</v>
      </c>
      <c r="H56" s="5">
        <v>1.98</v>
      </c>
      <c r="I56" s="5"/>
      <c r="J56" s="5"/>
      <c r="K56" s="5">
        <v>4.55</v>
      </c>
      <c r="L56" s="17"/>
      <c r="M56" s="6">
        <v>75</v>
      </c>
      <c r="N56" s="13"/>
      <c r="O56" s="13">
        <v>7</v>
      </c>
      <c r="P56" s="13"/>
      <c r="Q56" s="5"/>
      <c r="R56" s="5"/>
      <c r="S56" s="5">
        <v>8.9</v>
      </c>
      <c r="T56" s="5">
        <v>2.94</v>
      </c>
      <c r="U56" s="5"/>
      <c r="V56" s="5"/>
      <c r="W56" s="5">
        <f>S56/T56</f>
        <v>3.0272108843537415</v>
      </c>
      <c r="X56" s="19"/>
      <c r="Y56" s="5">
        <f>K56</f>
        <v>4.55</v>
      </c>
      <c r="Z56" s="5">
        <v>2.8</v>
      </c>
      <c r="AA56" s="5">
        <v>6.21</v>
      </c>
      <c r="AB56" s="5">
        <v>2.8</v>
      </c>
      <c r="AC56" s="5">
        <v>4.72</v>
      </c>
      <c r="AD56" s="13"/>
      <c r="AE56" s="13"/>
      <c r="AF56" s="13"/>
      <c r="AG56" s="13"/>
      <c r="AH56" s="15"/>
    </row>
    <row r="57" spans="1:34" x14ac:dyDescent="0.4">
      <c r="A57" s="3"/>
      <c r="C57" s="2">
        <v>12</v>
      </c>
      <c r="D57" s="2"/>
      <c r="E57" s="5"/>
      <c r="F57" s="5"/>
      <c r="G57" s="5"/>
      <c r="H57" s="5"/>
      <c r="I57" s="5"/>
      <c r="J57" s="5"/>
      <c r="K57" s="5"/>
      <c r="L57" s="17"/>
      <c r="M57" s="6">
        <v>75</v>
      </c>
      <c r="N57" s="13"/>
      <c r="O57" s="13">
        <v>12</v>
      </c>
      <c r="P57" s="13"/>
      <c r="Q57" s="5"/>
      <c r="R57" s="5"/>
      <c r="S57" s="5"/>
      <c r="T57" s="5"/>
      <c r="U57" s="5"/>
      <c r="V57" s="5"/>
      <c r="W57" s="5"/>
      <c r="X57" s="19"/>
      <c r="Y57" s="17"/>
      <c r="Z57" s="5">
        <v>3.3</v>
      </c>
      <c r="AA57" s="5">
        <v>7.45</v>
      </c>
      <c r="AB57" s="5">
        <v>3.2</v>
      </c>
      <c r="AC57" s="5">
        <v>6.12</v>
      </c>
      <c r="AD57" s="13"/>
      <c r="AE57" s="13"/>
      <c r="AF57" s="13"/>
      <c r="AG57" s="13"/>
      <c r="AH57" s="15"/>
    </row>
    <row r="60" spans="1:34" x14ac:dyDescent="0.4">
      <c r="A60" s="1" t="s">
        <v>41</v>
      </c>
    </row>
    <row r="61" spans="1:34" x14ac:dyDescent="0.4">
      <c r="A61" s="2" t="s">
        <v>42</v>
      </c>
    </row>
    <row r="62" spans="1:34" x14ac:dyDescent="0.4">
      <c r="A62" s="2" t="s">
        <v>48</v>
      </c>
      <c r="F62" s="10"/>
    </row>
    <row r="63" spans="1:34" x14ac:dyDescent="0.4">
      <c r="A63" s="2" t="s">
        <v>49</v>
      </c>
      <c r="F63" s="11"/>
    </row>
    <row r="64" spans="1:34" x14ac:dyDescent="0.4">
      <c r="A64" s="2" t="s">
        <v>50</v>
      </c>
    </row>
    <row r="66" spans="1:34" s="1" customFormat="1" x14ac:dyDescent="0.4">
      <c r="A66" s="2" t="s">
        <v>44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1" customFormat="1" x14ac:dyDescent="0.4">
      <c r="A67" s="2" t="s">
        <v>47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1" customFormat="1" x14ac:dyDescent="0.4">
      <c r="A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1" customFormat="1" x14ac:dyDescent="0.4">
      <c r="A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1" customFormat="1" x14ac:dyDescent="0.4">
      <c r="A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FCB3-511A-4C3B-A6EA-CE550FB586D2}">
  <dimension ref="A1:AK85"/>
  <sheetViews>
    <sheetView zoomScaleNormal="100" workbookViewId="0">
      <pane xSplit="3" ySplit="3" topLeftCell="D55" activePane="bottomRight" state="frozen"/>
      <selection pane="topRight" activeCell="D1" sqref="D1"/>
      <selection pane="bottomLeft" activeCell="A4" sqref="A4"/>
      <selection pane="bottomRight" activeCell="A79" sqref="A79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3" t="s">
        <v>0</v>
      </c>
      <c r="B4" s="1" t="s">
        <v>11</v>
      </c>
      <c r="C4" s="4">
        <v>-20</v>
      </c>
      <c r="D4" s="2"/>
      <c r="E4" s="5"/>
      <c r="F4" s="5"/>
      <c r="G4" s="5">
        <v>2.52</v>
      </c>
      <c r="H4" s="5">
        <v>1.31</v>
      </c>
      <c r="I4" s="16"/>
      <c r="J4" s="5"/>
      <c r="K4" s="5">
        <f>G4/H4</f>
        <v>1.9236641221374045</v>
      </c>
      <c r="L4" s="17"/>
      <c r="M4" s="6">
        <v>55</v>
      </c>
      <c r="N4" s="13"/>
      <c r="O4" s="4">
        <v>-20</v>
      </c>
      <c r="P4" s="13"/>
      <c r="Q4" s="5"/>
      <c r="R4" s="5"/>
      <c r="S4" s="5">
        <v>2.12</v>
      </c>
      <c r="T4" s="5">
        <v>1.8</v>
      </c>
      <c r="U4" s="5"/>
      <c r="V4" s="5"/>
      <c r="W4" s="5">
        <f>S4/T4</f>
        <v>1.1777777777777778</v>
      </c>
      <c r="X4" s="4">
        <v>3</v>
      </c>
      <c r="Y4" s="17"/>
      <c r="Z4" s="5"/>
      <c r="AA4" s="5"/>
      <c r="AB4" s="5"/>
      <c r="AC4" s="5"/>
      <c r="AD4" s="13"/>
      <c r="AE4" s="13" t="s">
        <v>37</v>
      </c>
      <c r="AF4" s="7">
        <v>3.2</v>
      </c>
      <c r="AG4" s="7">
        <v>0.91</v>
      </c>
      <c r="AH4" s="7">
        <f>AF4/AG4</f>
        <v>3.5164835164835164</v>
      </c>
    </row>
    <row r="5" spans="1:37" x14ac:dyDescent="0.4">
      <c r="A5" s="3"/>
      <c r="C5" s="2">
        <v>-15</v>
      </c>
      <c r="D5" s="2"/>
      <c r="E5" s="5"/>
      <c r="F5" s="5"/>
      <c r="G5" s="5">
        <v>3.2</v>
      </c>
      <c r="H5" s="5">
        <v>1.37</v>
      </c>
      <c r="I5" s="16"/>
      <c r="J5" s="5"/>
      <c r="K5" s="5">
        <f>G5/H5</f>
        <v>2.335766423357664</v>
      </c>
      <c r="L5" s="17"/>
      <c r="M5" s="6">
        <v>55</v>
      </c>
      <c r="N5" s="13"/>
      <c r="O5" s="13">
        <v>-15</v>
      </c>
      <c r="P5" s="13"/>
      <c r="Q5" s="5"/>
      <c r="R5" s="5"/>
      <c r="S5" s="5">
        <v>2.75</v>
      </c>
      <c r="T5" s="5">
        <v>1.92</v>
      </c>
      <c r="U5" s="5"/>
      <c r="V5" s="5"/>
      <c r="W5" s="5">
        <f>S5/T5</f>
        <v>1.4322916666666667</v>
      </c>
      <c r="X5" s="19"/>
      <c r="Y5" s="17"/>
      <c r="Z5" s="5"/>
      <c r="AA5" s="5"/>
      <c r="AB5" s="5"/>
      <c r="AC5" s="5"/>
      <c r="AD5" s="13"/>
      <c r="AE5" s="13" t="s">
        <v>38</v>
      </c>
      <c r="AF5" s="7">
        <v>3.56</v>
      </c>
      <c r="AG5" s="7">
        <v>0.93</v>
      </c>
      <c r="AH5" s="7">
        <v>3.83</v>
      </c>
    </row>
    <row r="6" spans="1:37" x14ac:dyDescent="0.4">
      <c r="A6" s="3"/>
      <c r="C6" s="2">
        <v>-10</v>
      </c>
      <c r="D6" s="2"/>
      <c r="E6" s="5"/>
      <c r="F6" s="5"/>
      <c r="G6" s="5"/>
      <c r="H6" s="5"/>
      <c r="I6" s="16"/>
      <c r="J6" s="5"/>
      <c r="K6" s="5"/>
      <c r="L6" s="17"/>
      <c r="M6" s="6">
        <v>60</v>
      </c>
      <c r="N6" s="13"/>
      <c r="O6" s="13">
        <v>-10</v>
      </c>
      <c r="P6" s="13"/>
      <c r="Q6" s="5"/>
      <c r="R6" s="5"/>
      <c r="S6" s="5"/>
      <c r="T6" s="5"/>
      <c r="U6" s="5"/>
      <c r="V6" s="5"/>
      <c r="W6" s="5"/>
      <c r="X6" s="19"/>
      <c r="Y6" s="17" t="s">
        <v>39</v>
      </c>
      <c r="Z6" s="5">
        <v>4</v>
      </c>
      <c r="AA6" s="5">
        <v>2.6</v>
      </c>
      <c r="AB6" s="5">
        <v>2.9</v>
      </c>
      <c r="AC6" s="5">
        <v>1.66</v>
      </c>
      <c r="AD6" s="13"/>
      <c r="AE6" s="13" t="s">
        <v>40</v>
      </c>
      <c r="AF6" s="7">
        <v>3.2</v>
      </c>
      <c r="AG6" s="7">
        <v>0.68</v>
      </c>
      <c r="AH6" s="7">
        <v>4.71</v>
      </c>
    </row>
    <row r="7" spans="1:37" x14ac:dyDescent="0.4">
      <c r="A7" s="3"/>
      <c r="C7" s="2">
        <v>-7</v>
      </c>
      <c r="D7" s="2"/>
      <c r="E7" s="5"/>
      <c r="F7" s="5"/>
      <c r="G7" s="5">
        <v>3.3</v>
      </c>
      <c r="H7" s="5">
        <v>1.18</v>
      </c>
      <c r="I7" s="16"/>
      <c r="J7" s="5"/>
      <c r="K7" s="5">
        <f>G7/H7</f>
        <v>2.7966101694915255</v>
      </c>
      <c r="L7" s="17"/>
      <c r="M7" s="6">
        <v>60</v>
      </c>
      <c r="N7" s="13"/>
      <c r="O7" s="13">
        <v>-7</v>
      </c>
      <c r="P7" s="13"/>
      <c r="Q7" s="5"/>
      <c r="R7" s="5"/>
      <c r="S7" s="5">
        <v>3.2</v>
      </c>
      <c r="T7" s="5">
        <v>1.79</v>
      </c>
      <c r="U7" s="5"/>
      <c r="V7" s="5"/>
      <c r="W7" s="5">
        <f>S7/T7</f>
        <v>1.787709497206704</v>
      </c>
      <c r="X7" s="19"/>
      <c r="Y7" s="5">
        <f>AA7*(1.029-(0.05*Z7/G9))</f>
        <v>2.7280749999999996</v>
      </c>
      <c r="Z7" s="5">
        <v>3.5</v>
      </c>
      <c r="AA7" s="5">
        <v>2.8</v>
      </c>
      <c r="AB7" s="5">
        <v>2.6</v>
      </c>
      <c r="AC7" s="5">
        <v>2.1800000000000002</v>
      </c>
      <c r="AD7" s="13"/>
      <c r="AE7" s="13"/>
      <c r="AF7" s="19"/>
      <c r="AG7" s="19"/>
      <c r="AH7" s="20"/>
      <c r="AK7" s="23"/>
    </row>
    <row r="8" spans="1:37" x14ac:dyDescent="0.4">
      <c r="A8" s="3"/>
      <c r="C8" s="2">
        <v>2</v>
      </c>
      <c r="D8" s="2"/>
      <c r="E8" s="5"/>
      <c r="F8" s="5"/>
      <c r="G8" s="5">
        <v>3.2</v>
      </c>
      <c r="H8" s="5">
        <v>0.88</v>
      </c>
      <c r="I8" s="16"/>
      <c r="J8" s="5"/>
      <c r="K8" s="5">
        <f>G8/H8</f>
        <v>3.6363636363636367</v>
      </c>
      <c r="L8" s="17"/>
      <c r="M8" s="6">
        <v>60</v>
      </c>
      <c r="N8" s="13"/>
      <c r="O8" s="13">
        <v>2</v>
      </c>
      <c r="P8" s="13"/>
      <c r="Q8" s="5"/>
      <c r="R8" s="5"/>
      <c r="S8" s="5">
        <v>3.2</v>
      </c>
      <c r="T8" s="5">
        <v>1.46</v>
      </c>
      <c r="U8" s="5"/>
      <c r="V8" s="5"/>
      <c r="W8" s="5">
        <f>S8/T8</f>
        <v>2.1917808219178085</v>
      </c>
      <c r="X8" s="19"/>
      <c r="Y8" s="5">
        <f>AA8*(0.906-(0.044*Z8/G9))</f>
        <v>4.5154899999999998</v>
      </c>
      <c r="Z8" s="5">
        <v>2</v>
      </c>
      <c r="AA8" s="5">
        <v>5.14</v>
      </c>
      <c r="AB8" s="5">
        <v>1.6</v>
      </c>
      <c r="AC8" s="5">
        <v>3.42</v>
      </c>
      <c r="AD8" s="13"/>
      <c r="AE8" s="13"/>
      <c r="AF8" s="19"/>
      <c r="AG8" s="19"/>
      <c r="AH8" s="20"/>
      <c r="AK8" s="23"/>
    </row>
    <row r="9" spans="1:37" x14ac:dyDescent="0.4">
      <c r="A9" s="3"/>
      <c r="C9" s="2">
        <v>7</v>
      </c>
      <c r="D9" s="2"/>
      <c r="E9" s="5"/>
      <c r="F9" s="5"/>
      <c r="G9" s="5">
        <v>3.2</v>
      </c>
      <c r="H9" s="5">
        <v>0.6</v>
      </c>
      <c r="I9" s="16"/>
      <c r="J9" s="5"/>
      <c r="K9" s="5">
        <f>G9/H9</f>
        <v>5.3333333333333339</v>
      </c>
      <c r="L9" s="17"/>
      <c r="M9" s="6">
        <v>60</v>
      </c>
      <c r="N9" s="13"/>
      <c r="O9" s="13">
        <v>7</v>
      </c>
      <c r="P9" s="13"/>
      <c r="Q9" s="5"/>
      <c r="R9" s="5"/>
      <c r="S9" s="5">
        <v>3.2</v>
      </c>
      <c r="T9" s="5">
        <v>1.1399999999999999</v>
      </c>
      <c r="U9" s="5"/>
      <c r="V9" s="5"/>
      <c r="W9" s="5">
        <f>S9/T9</f>
        <v>2.8070175438596494</v>
      </c>
      <c r="X9" s="19"/>
      <c r="Y9" s="5">
        <f>K9</f>
        <v>5.3333333333333339</v>
      </c>
      <c r="Z9" s="5">
        <v>1.4</v>
      </c>
      <c r="AA9" s="5">
        <v>6.8</v>
      </c>
      <c r="AB9" s="5">
        <v>1.1000000000000001</v>
      </c>
      <c r="AC9" s="5">
        <v>4.43</v>
      </c>
      <c r="AD9" s="13"/>
      <c r="AE9" s="13"/>
      <c r="AF9" s="19"/>
      <c r="AG9" s="19"/>
      <c r="AH9" s="20"/>
      <c r="AK9" s="23"/>
    </row>
    <row r="10" spans="1:37" x14ac:dyDescent="0.4">
      <c r="A10" s="3"/>
      <c r="C10" s="2">
        <v>12</v>
      </c>
      <c r="D10" s="2"/>
      <c r="E10" s="5"/>
      <c r="F10" s="5"/>
      <c r="G10" s="5"/>
      <c r="H10" s="5"/>
      <c r="I10" s="16"/>
      <c r="J10" s="5"/>
      <c r="K10" s="5"/>
      <c r="L10" s="17"/>
      <c r="M10" s="6">
        <v>60</v>
      </c>
      <c r="N10" s="13"/>
      <c r="O10" s="13">
        <v>12</v>
      </c>
      <c r="P10" s="13"/>
      <c r="Q10" s="5"/>
      <c r="R10" s="5"/>
      <c r="S10" s="5"/>
      <c r="T10" s="5"/>
      <c r="U10" s="5"/>
      <c r="V10" s="5"/>
      <c r="W10" s="5"/>
      <c r="X10" s="19"/>
      <c r="Y10" s="17"/>
      <c r="Z10" s="5">
        <v>1.6</v>
      </c>
      <c r="AA10" s="5">
        <v>9.5</v>
      </c>
      <c r="AB10" s="5">
        <v>1.4</v>
      </c>
      <c r="AC10" s="5">
        <v>6.97</v>
      </c>
      <c r="AD10" s="13"/>
      <c r="AE10" s="13"/>
      <c r="AF10" s="19"/>
      <c r="AG10" s="19"/>
      <c r="AH10" s="20"/>
    </row>
    <row r="11" spans="1:37" x14ac:dyDescent="0.4">
      <c r="A11" s="8"/>
      <c r="B11" s="8"/>
      <c r="C11" s="9"/>
      <c r="D11" s="9"/>
      <c r="E11" s="18"/>
      <c r="F11" s="18"/>
      <c r="G11" s="18"/>
      <c r="H11" s="18"/>
      <c r="I11" s="18"/>
      <c r="J11" s="18"/>
      <c r="K11" s="18"/>
      <c r="L11" s="18"/>
      <c r="M11" s="18"/>
      <c r="N11" s="14"/>
      <c r="O11" s="14"/>
      <c r="P11" s="14"/>
      <c r="Q11" s="18"/>
      <c r="R11" s="18"/>
      <c r="S11" s="18"/>
      <c r="T11" s="18"/>
      <c r="U11" s="18"/>
      <c r="V11" s="18"/>
      <c r="W11" s="18"/>
      <c r="X11" s="18"/>
      <c r="Y11" s="22"/>
      <c r="Z11" s="22"/>
      <c r="AA11" s="22"/>
      <c r="AB11" s="22"/>
      <c r="AC11" s="22"/>
      <c r="AD11" s="14"/>
      <c r="AE11" s="14"/>
      <c r="AF11" s="18"/>
      <c r="AG11" s="18"/>
      <c r="AH11" s="18"/>
    </row>
    <row r="12" spans="1:37" x14ac:dyDescent="0.4">
      <c r="A12" s="3" t="s">
        <v>4</v>
      </c>
      <c r="B12" s="1" t="s">
        <v>11</v>
      </c>
      <c r="C12" s="4">
        <v>-20</v>
      </c>
      <c r="D12" s="2"/>
      <c r="E12" s="5"/>
      <c r="F12" s="5"/>
      <c r="G12" s="5">
        <v>2.52</v>
      </c>
      <c r="H12" s="5">
        <v>1.31</v>
      </c>
      <c r="I12" s="16"/>
      <c r="J12" s="5"/>
      <c r="K12" s="5">
        <f>G12/H12</f>
        <v>1.9236641221374045</v>
      </c>
      <c r="L12" s="17"/>
      <c r="M12" s="6">
        <v>55</v>
      </c>
      <c r="N12" s="13"/>
      <c r="O12" s="4">
        <v>-20</v>
      </c>
      <c r="P12" s="13"/>
      <c r="Q12" s="5"/>
      <c r="R12" s="5"/>
      <c r="S12" s="5">
        <v>2.12</v>
      </c>
      <c r="T12" s="5">
        <v>1.8</v>
      </c>
      <c r="U12" s="5"/>
      <c r="V12" s="5"/>
      <c r="W12" s="5">
        <f>S12/T12</f>
        <v>1.1777777777777778</v>
      </c>
      <c r="X12" s="4">
        <v>6</v>
      </c>
      <c r="Y12" s="17"/>
      <c r="Z12" s="5"/>
      <c r="AA12" s="5"/>
      <c r="AB12" s="5"/>
      <c r="AC12" s="5"/>
      <c r="AD12" s="13"/>
      <c r="AE12" s="13" t="s">
        <v>37</v>
      </c>
      <c r="AF12" s="7">
        <v>3.2</v>
      </c>
      <c r="AG12" s="7">
        <v>0.91</v>
      </c>
      <c r="AH12" s="7">
        <f>AF12/AG12</f>
        <v>3.5164835164835164</v>
      </c>
    </row>
    <row r="13" spans="1:37" x14ac:dyDescent="0.4">
      <c r="A13" s="3"/>
      <c r="C13" s="2">
        <v>-15</v>
      </c>
      <c r="D13" s="2"/>
      <c r="E13" s="5"/>
      <c r="F13" s="5"/>
      <c r="G13" s="5">
        <v>3.2</v>
      </c>
      <c r="H13" s="5">
        <v>1.37</v>
      </c>
      <c r="I13" s="16"/>
      <c r="J13" s="5"/>
      <c r="K13" s="5">
        <f>G13/H13</f>
        <v>2.335766423357664</v>
      </c>
      <c r="L13" s="17"/>
      <c r="M13" s="6">
        <v>55</v>
      </c>
      <c r="N13" s="13"/>
      <c r="O13" s="13">
        <v>-15</v>
      </c>
      <c r="P13" s="13"/>
      <c r="Q13" s="5"/>
      <c r="R13" s="5"/>
      <c r="S13" s="5">
        <v>2.75</v>
      </c>
      <c r="T13" s="5">
        <v>1.92</v>
      </c>
      <c r="U13" s="5"/>
      <c r="V13" s="5"/>
      <c r="W13" s="5">
        <f>S13/T13</f>
        <v>1.4322916666666667</v>
      </c>
      <c r="X13" s="19"/>
      <c r="Y13" s="17"/>
      <c r="Z13" s="5"/>
      <c r="AA13" s="5"/>
      <c r="AB13" s="5"/>
      <c r="AC13" s="5"/>
      <c r="AD13" s="13"/>
      <c r="AE13" s="13" t="s">
        <v>38</v>
      </c>
      <c r="AF13" s="7">
        <v>3.56</v>
      </c>
      <c r="AG13" s="7">
        <v>0.93</v>
      </c>
      <c r="AH13" s="7">
        <v>3.83</v>
      </c>
    </row>
    <row r="14" spans="1:37" x14ac:dyDescent="0.4">
      <c r="A14" s="3"/>
      <c r="C14" s="2">
        <v>-10</v>
      </c>
      <c r="D14" s="2"/>
      <c r="E14" s="5"/>
      <c r="F14" s="5"/>
      <c r="G14" s="5"/>
      <c r="H14" s="5"/>
      <c r="I14" s="16"/>
      <c r="J14" s="5"/>
      <c r="K14" s="5"/>
      <c r="L14" s="17"/>
      <c r="M14" s="6">
        <v>60</v>
      </c>
      <c r="N14" s="13"/>
      <c r="O14" s="13">
        <v>-10</v>
      </c>
      <c r="P14" s="13"/>
      <c r="Q14" s="5"/>
      <c r="R14" s="5"/>
      <c r="S14" s="5"/>
      <c r="T14" s="5"/>
      <c r="U14" s="5"/>
      <c r="V14" s="5"/>
      <c r="W14" s="5"/>
      <c r="X14" s="19"/>
      <c r="Y14" s="17" t="s">
        <v>39</v>
      </c>
      <c r="Z14" s="5">
        <v>4</v>
      </c>
      <c r="AA14" s="5">
        <v>2.6</v>
      </c>
      <c r="AB14" s="5">
        <v>2.9</v>
      </c>
      <c r="AC14" s="5">
        <v>1.66</v>
      </c>
      <c r="AD14" s="13"/>
      <c r="AE14" s="13" t="s">
        <v>40</v>
      </c>
      <c r="AF14" s="7">
        <v>3.2</v>
      </c>
      <c r="AG14" s="7">
        <v>0.68</v>
      </c>
      <c r="AH14" s="7">
        <v>4.71</v>
      </c>
    </row>
    <row r="15" spans="1:37" x14ac:dyDescent="0.4">
      <c r="A15" s="3"/>
      <c r="C15" s="2">
        <v>-7</v>
      </c>
      <c r="D15" s="2"/>
      <c r="E15" s="5"/>
      <c r="F15" s="5"/>
      <c r="G15" s="5">
        <v>3.3</v>
      </c>
      <c r="H15" s="5">
        <v>1.18</v>
      </c>
      <c r="I15" s="16"/>
      <c r="J15" s="5"/>
      <c r="K15" s="5">
        <f>G15/H15</f>
        <v>2.7966101694915255</v>
      </c>
      <c r="L15" s="17"/>
      <c r="M15" s="6">
        <v>60</v>
      </c>
      <c r="N15" s="13"/>
      <c r="O15" s="13">
        <v>-7</v>
      </c>
      <c r="P15" s="13"/>
      <c r="Q15" s="5"/>
      <c r="R15" s="5"/>
      <c r="S15" s="5">
        <v>3.2</v>
      </c>
      <c r="T15" s="5">
        <v>1.79</v>
      </c>
      <c r="U15" s="5"/>
      <c r="V15" s="5"/>
      <c r="W15" s="5">
        <f>S15/T15</f>
        <v>1.787709497206704</v>
      </c>
      <c r="X15" s="19"/>
      <c r="Y15" s="5">
        <f>AA15*(1.029-(0.05*Z15/G17))</f>
        <v>2.7280749999999996</v>
      </c>
      <c r="Z15" s="5">
        <v>3.5</v>
      </c>
      <c r="AA15" s="5">
        <v>2.8</v>
      </c>
      <c r="AB15" s="5">
        <v>2.6</v>
      </c>
      <c r="AC15" s="5">
        <v>2.1800000000000002</v>
      </c>
      <c r="AD15" s="13"/>
      <c r="AE15" s="13"/>
      <c r="AF15" s="19"/>
      <c r="AG15" s="19"/>
      <c r="AH15" s="20"/>
    </row>
    <row r="16" spans="1:37" x14ac:dyDescent="0.4">
      <c r="A16" s="3"/>
      <c r="C16" s="2">
        <v>2</v>
      </c>
      <c r="D16" s="2"/>
      <c r="E16" s="5"/>
      <c r="F16" s="5"/>
      <c r="G16" s="5">
        <v>3.2</v>
      </c>
      <c r="H16" s="5">
        <v>0.88</v>
      </c>
      <c r="I16" s="16"/>
      <c r="J16" s="5"/>
      <c r="K16" s="5">
        <f>G16/H16</f>
        <v>3.6363636363636367</v>
      </c>
      <c r="L16" s="17"/>
      <c r="M16" s="6">
        <v>60</v>
      </c>
      <c r="N16" s="13"/>
      <c r="O16" s="13">
        <v>2</v>
      </c>
      <c r="P16" s="13"/>
      <c r="Q16" s="5"/>
      <c r="R16" s="5"/>
      <c r="S16" s="5">
        <v>3.2</v>
      </c>
      <c r="T16" s="5">
        <v>1.46</v>
      </c>
      <c r="U16" s="5"/>
      <c r="V16" s="5"/>
      <c r="W16" s="5">
        <f>S16/T16</f>
        <v>2.1917808219178085</v>
      </c>
      <c r="X16" s="19"/>
      <c r="Y16" s="5">
        <f>AA16*(0.906-(0.044*Z16/G17))</f>
        <v>4.5154899999999998</v>
      </c>
      <c r="Z16" s="5">
        <v>2</v>
      </c>
      <c r="AA16" s="5">
        <v>5.14</v>
      </c>
      <c r="AB16" s="5">
        <v>1.6</v>
      </c>
      <c r="AC16" s="5">
        <v>3.42</v>
      </c>
      <c r="AD16" s="13"/>
      <c r="AE16" s="13"/>
      <c r="AF16" s="19"/>
      <c r="AG16" s="19"/>
      <c r="AH16" s="20"/>
    </row>
    <row r="17" spans="1:34" x14ac:dyDescent="0.4">
      <c r="A17" s="3"/>
      <c r="C17" s="2">
        <v>7</v>
      </c>
      <c r="D17" s="2"/>
      <c r="E17" s="5"/>
      <c r="F17" s="5"/>
      <c r="G17" s="5">
        <v>3.2</v>
      </c>
      <c r="H17" s="5">
        <v>0.6</v>
      </c>
      <c r="I17" s="16"/>
      <c r="J17" s="5"/>
      <c r="K17" s="5">
        <f>G17/H17</f>
        <v>5.3333333333333339</v>
      </c>
      <c r="L17" s="17"/>
      <c r="M17" s="6">
        <v>60</v>
      </c>
      <c r="N17" s="13"/>
      <c r="O17" s="13">
        <v>7</v>
      </c>
      <c r="P17" s="13"/>
      <c r="Q17" s="5"/>
      <c r="R17" s="5"/>
      <c r="S17" s="5">
        <v>3.2</v>
      </c>
      <c r="T17" s="5">
        <v>1.1399999999999999</v>
      </c>
      <c r="U17" s="5"/>
      <c r="V17" s="5"/>
      <c r="W17" s="5">
        <f>S17/T17</f>
        <v>2.8070175438596494</v>
      </c>
      <c r="X17" s="19"/>
      <c r="Y17" s="5">
        <f>K17</f>
        <v>5.3333333333333339</v>
      </c>
      <c r="Z17" s="5">
        <v>1.4</v>
      </c>
      <c r="AA17" s="5">
        <v>6.8</v>
      </c>
      <c r="AB17" s="5">
        <v>1.1000000000000001</v>
      </c>
      <c r="AC17" s="5">
        <v>4.43</v>
      </c>
      <c r="AD17" s="13"/>
      <c r="AE17" s="13"/>
      <c r="AF17" s="19"/>
      <c r="AG17" s="19"/>
      <c r="AH17" s="20"/>
    </row>
    <row r="18" spans="1:34" x14ac:dyDescent="0.4">
      <c r="A18" s="3"/>
      <c r="C18" s="2">
        <v>12</v>
      </c>
      <c r="D18" s="2"/>
      <c r="E18" s="5"/>
      <c r="F18" s="5"/>
      <c r="G18" s="5"/>
      <c r="H18" s="5"/>
      <c r="I18" s="16"/>
      <c r="J18" s="5"/>
      <c r="K18" s="5"/>
      <c r="L18" s="17"/>
      <c r="M18" s="6">
        <v>60</v>
      </c>
      <c r="N18" s="13"/>
      <c r="O18" s="13">
        <v>12</v>
      </c>
      <c r="P18" s="13"/>
      <c r="Q18" s="5"/>
      <c r="R18" s="5"/>
      <c r="S18" s="5"/>
      <c r="T18" s="5"/>
      <c r="U18" s="5"/>
      <c r="V18" s="5"/>
      <c r="W18" s="5"/>
      <c r="X18" s="19"/>
      <c r="Y18" s="17"/>
      <c r="Z18" s="5">
        <v>1.6</v>
      </c>
      <c r="AA18" s="5">
        <v>9.5</v>
      </c>
      <c r="AB18" s="5">
        <v>1.4</v>
      </c>
      <c r="AC18" s="5">
        <v>6.97</v>
      </c>
      <c r="AD18" s="13"/>
      <c r="AE18" s="13"/>
      <c r="AF18" s="19"/>
      <c r="AG18" s="19"/>
      <c r="AH18" s="20"/>
    </row>
    <row r="19" spans="1:34" x14ac:dyDescent="0.4">
      <c r="A19" s="8"/>
      <c r="B19" s="8"/>
      <c r="C19" s="9"/>
      <c r="D19" s="9"/>
      <c r="E19" s="18"/>
      <c r="F19" s="18"/>
      <c r="G19" s="18"/>
      <c r="H19" s="18"/>
      <c r="I19" s="18"/>
      <c r="J19" s="18"/>
      <c r="K19" s="18"/>
      <c r="L19" s="18"/>
      <c r="M19" s="18"/>
      <c r="N19" s="14"/>
      <c r="O19" s="14"/>
      <c r="P19" s="14"/>
      <c r="Q19" s="18"/>
      <c r="R19" s="18"/>
      <c r="S19" s="18"/>
      <c r="T19" s="18"/>
      <c r="U19" s="18"/>
      <c r="V19" s="18"/>
      <c r="W19" s="18"/>
      <c r="X19" s="18"/>
      <c r="Y19" s="22"/>
      <c r="Z19" s="22"/>
      <c r="AA19" s="22"/>
      <c r="AB19" s="22"/>
      <c r="AC19" s="22"/>
      <c r="AD19" s="14"/>
      <c r="AE19" s="14"/>
      <c r="AF19" s="18"/>
      <c r="AG19" s="18"/>
      <c r="AH19" s="18"/>
    </row>
    <row r="20" spans="1:34" x14ac:dyDescent="0.4">
      <c r="A20" s="3" t="s">
        <v>0</v>
      </c>
      <c r="B20" s="1" t="s">
        <v>12</v>
      </c>
      <c r="C20" s="4">
        <v>-25</v>
      </c>
      <c r="D20" s="2"/>
      <c r="E20" s="5"/>
      <c r="F20" s="5"/>
      <c r="G20" s="5"/>
      <c r="H20" s="5"/>
      <c r="I20" s="5"/>
      <c r="J20" s="5"/>
      <c r="K20" s="5"/>
      <c r="L20" s="17"/>
      <c r="M20" s="6">
        <v>55</v>
      </c>
      <c r="N20" s="13"/>
      <c r="O20" s="4">
        <v>-25</v>
      </c>
      <c r="P20" s="13"/>
      <c r="Q20" s="5"/>
      <c r="R20" s="5"/>
      <c r="S20" s="5"/>
      <c r="T20" s="5"/>
      <c r="U20" s="5"/>
      <c r="V20" s="5"/>
      <c r="W20" s="5"/>
      <c r="X20" s="4">
        <v>3</v>
      </c>
      <c r="Y20" s="17"/>
      <c r="Z20" s="5"/>
      <c r="AA20" s="5"/>
      <c r="AB20" s="5"/>
      <c r="AC20" s="5"/>
      <c r="AD20" s="13"/>
      <c r="AE20" s="13" t="s">
        <v>37</v>
      </c>
      <c r="AF20" s="7">
        <v>5</v>
      </c>
      <c r="AG20" s="7">
        <v>1.64</v>
      </c>
      <c r="AH20" s="7">
        <f>AF20/AG20</f>
        <v>3.0487804878048781</v>
      </c>
    </row>
    <row r="21" spans="1:34" x14ac:dyDescent="0.4">
      <c r="A21"/>
      <c r="C21" s="13">
        <v>-20</v>
      </c>
      <c r="D21" s="2"/>
      <c r="E21" s="5"/>
      <c r="F21" s="5"/>
      <c r="G21" s="5">
        <v>4.05</v>
      </c>
      <c r="H21" s="5">
        <v>1.95</v>
      </c>
      <c r="I21" s="5"/>
      <c r="J21" s="5"/>
      <c r="K21" s="5">
        <f>G21/H21</f>
        <v>2.0769230769230771</v>
      </c>
      <c r="L21" s="17"/>
      <c r="M21" s="6">
        <v>55</v>
      </c>
      <c r="N21" s="13"/>
      <c r="O21" s="13">
        <v>-20</v>
      </c>
      <c r="P21" s="13"/>
      <c r="Q21" s="5"/>
      <c r="R21" s="5"/>
      <c r="S21" s="5">
        <v>3.39</v>
      </c>
      <c r="T21" s="5">
        <v>2.48</v>
      </c>
      <c r="U21" s="5"/>
      <c r="V21" s="5"/>
      <c r="W21" s="5">
        <f>S21/T21</f>
        <v>1.3669354838709677</v>
      </c>
      <c r="X21" s="19"/>
      <c r="Y21" s="17"/>
      <c r="Z21" s="5"/>
      <c r="AA21" s="5"/>
      <c r="AB21" s="5"/>
      <c r="AC21" s="5"/>
      <c r="AD21" s="13"/>
      <c r="AE21" s="13"/>
      <c r="AF21" s="7"/>
      <c r="AG21" s="7"/>
      <c r="AH21" s="7"/>
    </row>
    <row r="22" spans="1:34" x14ac:dyDescent="0.4">
      <c r="A22" s="3"/>
      <c r="C22" s="2">
        <v>-15</v>
      </c>
      <c r="D22" s="2"/>
      <c r="E22" s="5"/>
      <c r="F22" s="5"/>
      <c r="G22" s="5">
        <v>5</v>
      </c>
      <c r="H22" s="5">
        <v>2.11</v>
      </c>
      <c r="I22" s="5"/>
      <c r="J22" s="5"/>
      <c r="K22" s="5">
        <f>G22/H22</f>
        <v>2.3696682464454977</v>
      </c>
      <c r="L22" s="17"/>
      <c r="M22" s="6">
        <v>55</v>
      </c>
      <c r="N22" s="13"/>
      <c r="O22" s="13">
        <v>-15</v>
      </c>
      <c r="P22" s="13"/>
      <c r="Q22" s="5"/>
      <c r="R22" s="5"/>
      <c r="S22" s="5">
        <v>4.3</v>
      </c>
      <c r="T22" s="5">
        <v>2.61</v>
      </c>
      <c r="U22" s="5"/>
      <c r="V22" s="5"/>
      <c r="W22" s="5">
        <f>S22/T22</f>
        <v>1.6475095785440612</v>
      </c>
      <c r="X22" s="19"/>
      <c r="Y22" s="17"/>
      <c r="Z22" s="5"/>
      <c r="AA22" s="5"/>
      <c r="AB22" s="5"/>
      <c r="AC22" s="5"/>
      <c r="AD22" s="13"/>
      <c r="AE22" s="13" t="s">
        <v>38</v>
      </c>
      <c r="AF22" s="7">
        <v>6.69</v>
      </c>
      <c r="AG22" s="7">
        <v>1.76</v>
      </c>
      <c r="AH22" s="7">
        <f t="shared" ref="AH22:AH23" si="0">AF22/AG22</f>
        <v>3.8011363636363638</v>
      </c>
    </row>
    <row r="23" spans="1:34" x14ac:dyDescent="0.4">
      <c r="A23" s="3"/>
      <c r="C23" s="2">
        <v>-10</v>
      </c>
      <c r="D23" s="2"/>
      <c r="E23" s="5"/>
      <c r="F23" s="5"/>
      <c r="G23" s="5"/>
      <c r="H23" s="5"/>
      <c r="I23" s="5"/>
      <c r="J23" s="5"/>
      <c r="K23" s="5"/>
      <c r="L23" s="17"/>
      <c r="M23" s="6">
        <v>60</v>
      </c>
      <c r="N23" s="13"/>
      <c r="O23" s="13">
        <v>-10</v>
      </c>
      <c r="P23" s="13"/>
      <c r="Q23" s="5"/>
      <c r="R23" s="5"/>
      <c r="S23" s="5"/>
      <c r="T23" s="5"/>
      <c r="U23" s="5"/>
      <c r="V23" s="5"/>
      <c r="W23" s="5"/>
      <c r="X23" s="19"/>
      <c r="Y23" s="17" t="s">
        <v>39</v>
      </c>
      <c r="Z23" s="5">
        <v>5</v>
      </c>
      <c r="AA23" s="5">
        <v>2.5</v>
      </c>
      <c r="AB23" s="5">
        <v>5</v>
      </c>
      <c r="AC23" s="5">
        <v>1.98</v>
      </c>
      <c r="AD23" s="13"/>
      <c r="AE23" s="13" t="s">
        <v>40</v>
      </c>
      <c r="AF23" s="7">
        <v>5</v>
      </c>
      <c r="AG23" s="7">
        <v>1.02</v>
      </c>
      <c r="AH23" s="7">
        <f t="shared" si="0"/>
        <v>4.9019607843137258</v>
      </c>
    </row>
    <row r="24" spans="1:34" x14ac:dyDescent="0.4">
      <c r="A24" s="3"/>
      <c r="C24" s="2">
        <v>-7</v>
      </c>
      <c r="D24" s="2"/>
      <c r="E24" s="5"/>
      <c r="F24" s="5"/>
      <c r="G24" s="5">
        <v>5</v>
      </c>
      <c r="H24" s="5">
        <v>1.79</v>
      </c>
      <c r="I24" s="5"/>
      <c r="J24" s="5"/>
      <c r="K24" s="5">
        <f>G24/H24</f>
        <v>2.7932960893854748</v>
      </c>
      <c r="L24" s="17"/>
      <c r="M24" s="6">
        <v>60</v>
      </c>
      <c r="N24" s="13"/>
      <c r="O24" s="13">
        <v>-7</v>
      </c>
      <c r="P24" s="13"/>
      <c r="Q24" s="5"/>
      <c r="R24" s="5"/>
      <c r="S24" s="5">
        <v>5</v>
      </c>
      <c r="T24" s="5">
        <v>2.65</v>
      </c>
      <c r="U24" s="5"/>
      <c r="V24" s="5"/>
      <c r="W24" s="5">
        <f>S24/T24</f>
        <v>1.8867924528301887</v>
      </c>
      <c r="X24" s="19"/>
      <c r="Y24" s="5">
        <f>AA24*(1.029-(0.05*Z24/G26))</f>
        <v>2.7185999999999995</v>
      </c>
      <c r="Z24" s="5">
        <v>4.4000000000000004</v>
      </c>
      <c r="AA24" s="5">
        <v>2.76</v>
      </c>
      <c r="AB24" s="5">
        <v>4.5</v>
      </c>
      <c r="AC24" s="5">
        <v>2.2999999999999998</v>
      </c>
      <c r="AD24" s="13"/>
      <c r="AE24" s="13"/>
      <c r="AF24" s="19"/>
      <c r="AG24" s="19"/>
      <c r="AH24" s="20"/>
    </row>
    <row r="25" spans="1:34" x14ac:dyDescent="0.4">
      <c r="A25" s="3"/>
      <c r="C25" s="2">
        <v>2</v>
      </c>
      <c r="D25" s="2"/>
      <c r="E25" s="5"/>
      <c r="F25" s="5"/>
      <c r="G25" s="5">
        <v>5</v>
      </c>
      <c r="H25" s="5">
        <v>1.4</v>
      </c>
      <c r="I25" s="5"/>
      <c r="J25" s="5"/>
      <c r="K25" s="5">
        <f>G25/H25</f>
        <v>3.5714285714285716</v>
      </c>
      <c r="L25" s="17"/>
      <c r="M25" s="6">
        <v>60</v>
      </c>
      <c r="N25" s="13"/>
      <c r="O25" s="13">
        <v>2</v>
      </c>
      <c r="P25" s="13"/>
      <c r="Q25" s="5"/>
      <c r="R25" s="5"/>
      <c r="S25" s="5">
        <v>5</v>
      </c>
      <c r="T25" s="5">
        <v>2.1800000000000002</v>
      </c>
      <c r="U25" s="5"/>
      <c r="V25" s="5"/>
      <c r="W25" s="5">
        <f>S25/T25</f>
        <v>2.2935779816513762</v>
      </c>
      <c r="X25" s="19"/>
      <c r="Y25" s="5">
        <f>AA25*(0.906-(0.044*Z25/G26))</f>
        <v>4.8041728000000008</v>
      </c>
      <c r="Z25" s="5">
        <v>2.6</v>
      </c>
      <c r="AA25" s="5">
        <v>5.44</v>
      </c>
      <c r="AB25" s="5">
        <v>2.7</v>
      </c>
      <c r="AC25" s="5">
        <v>3.58</v>
      </c>
      <c r="AD25" s="13"/>
      <c r="AE25" s="13"/>
      <c r="AF25" s="19"/>
      <c r="AG25" s="19"/>
      <c r="AH25" s="20"/>
    </row>
    <row r="26" spans="1:34" x14ac:dyDescent="0.4">
      <c r="A26" s="3"/>
      <c r="C26" s="2">
        <v>7</v>
      </c>
      <c r="D26" s="2"/>
      <c r="E26" s="5"/>
      <c r="F26" s="5"/>
      <c r="G26" s="5">
        <v>5</v>
      </c>
      <c r="H26" s="5">
        <v>0.98</v>
      </c>
      <c r="I26" s="5"/>
      <c r="J26" s="5"/>
      <c r="K26" s="5">
        <f>G26/H26</f>
        <v>5.1020408163265305</v>
      </c>
      <c r="L26" s="17"/>
      <c r="M26" s="6">
        <v>60</v>
      </c>
      <c r="N26" s="13"/>
      <c r="O26" s="13">
        <v>7</v>
      </c>
      <c r="P26" s="13"/>
      <c r="Q26" s="5"/>
      <c r="R26" s="5"/>
      <c r="S26" s="5">
        <v>5</v>
      </c>
      <c r="T26" s="5">
        <v>1.65</v>
      </c>
      <c r="U26" s="5"/>
      <c r="V26" s="5"/>
      <c r="W26" s="5">
        <f>S26/T26</f>
        <v>3.0303030303030303</v>
      </c>
      <c r="X26" s="19"/>
      <c r="Y26" s="5">
        <f>K26</f>
        <v>5.1020408163265305</v>
      </c>
      <c r="Z26" s="5">
        <v>3</v>
      </c>
      <c r="AA26" s="5">
        <v>7.15</v>
      </c>
      <c r="AB26" s="5">
        <v>2.8</v>
      </c>
      <c r="AC26" s="5">
        <v>4.8899999999999997</v>
      </c>
      <c r="AD26" s="13"/>
      <c r="AE26" s="13"/>
      <c r="AF26" s="19"/>
      <c r="AG26" s="19"/>
      <c r="AH26" s="20"/>
    </row>
    <row r="27" spans="1:34" x14ac:dyDescent="0.4">
      <c r="A27" s="3"/>
      <c r="C27" s="2">
        <v>12</v>
      </c>
      <c r="D27" s="2"/>
      <c r="E27" s="5"/>
      <c r="F27" s="5"/>
      <c r="G27" s="5"/>
      <c r="H27" s="5"/>
      <c r="I27" s="5"/>
      <c r="J27" s="5"/>
      <c r="K27" s="5"/>
      <c r="L27" s="17"/>
      <c r="M27" s="6">
        <v>60</v>
      </c>
      <c r="N27" s="13"/>
      <c r="O27" s="13">
        <v>12</v>
      </c>
      <c r="P27" s="13"/>
      <c r="Q27" s="5"/>
      <c r="R27" s="5"/>
      <c r="S27" s="5"/>
      <c r="T27" s="5"/>
      <c r="U27" s="5"/>
      <c r="V27" s="5"/>
      <c r="W27" s="5"/>
      <c r="X27" s="19"/>
      <c r="Y27" s="17"/>
      <c r="Z27" s="5">
        <v>3.5</v>
      </c>
      <c r="AA27" s="5">
        <v>9.5500000000000007</v>
      </c>
      <c r="AB27" s="5">
        <v>3.4</v>
      </c>
      <c r="AC27" s="5">
        <v>6.92</v>
      </c>
      <c r="AD27" s="13"/>
      <c r="AE27" s="13"/>
      <c r="AF27" s="19"/>
      <c r="AG27" s="19"/>
      <c r="AH27" s="20"/>
    </row>
    <row r="28" spans="1:34" x14ac:dyDescent="0.4">
      <c r="A28" s="8"/>
      <c r="B28" s="8"/>
      <c r="C28" s="9"/>
      <c r="D28" s="9"/>
      <c r="E28" s="18"/>
      <c r="F28" s="18"/>
      <c r="G28" s="18"/>
      <c r="H28" s="18"/>
      <c r="I28" s="18"/>
      <c r="J28" s="18"/>
      <c r="K28" s="18"/>
      <c r="L28" s="18"/>
      <c r="M28" s="18"/>
      <c r="N28" s="14"/>
      <c r="O28" s="14"/>
      <c r="P28" s="14"/>
      <c r="Q28" s="18"/>
      <c r="R28" s="18"/>
      <c r="S28" s="18"/>
      <c r="T28" s="18"/>
      <c r="U28" s="18"/>
      <c r="V28" s="18"/>
      <c r="W28" s="18"/>
      <c r="X28" s="18"/>
      <c r="Y28" s="22"/>
      <c r="Z28" s="22"/>
      <c r="AA28" s="22"/>
      <c r="AB28" s="22"/>
      <c r="AC28" s="22"/>
      <c r="AD28" s="14"/>
      <c r="AE28" s="14"/>
      <c r="AF28" s="18"/>
      <c r="AG28" s="18"/>
      <c r="AH28" s="18"/>
    </row>
    <row r="29" spans="1:34" x14ac:dyDescent="0.4">
      <c r="A29" s="3" t="s">
        <v>4</v>
      </c>
      <c r="B29" s="1" t="s">
        <v>12</v>
      </c>
      <c r="C29" s="4">
        <v>-25</v>
      </c>
      <c r="D29" s="2"/>
      <c r="E29" s="5"/>
      <c r="F29" s="5"/>
      <c r="G29" s="5"/>
      <c r="H29" s="5"/>
      <c r="I29" s="5"/>
      <c r="J29" s="5"/>
      <c r="K29" s="5"/>
      <c r="L29" s="17"/>
      <c r="M29" s="6">
        <v>55</v>
      </c>
      <c r="N29" s="13"/>
      <c r="O29" s="4">
        <v>-25</v>
      </c>
      <c r="P29" s="13"/>
      <c r="Q29" s="5"/>
      <c r="R29" s="5"/>
      <c r="S29" s="5"/>
      <c r="T29" s="5"/>
      <c r="U29" s="5"/>
      <c r="V29" s="5"/>
      <c r="W29" s="5"/>
      <c r="X29" s="4">
        <v>6</v>
      </c>
      <c r="Y29" s="17"/>
      <c r="Z29" s="5"/>
      <c r="AA29" s="5"/>
      <c r="AB29" s="5"/>
      <c r="AC29" s="5"/>
      <c r="AD29" s="13"/>
      <c r="AE29" s="13" t="s">
        <v>37</v>
      </c>
      <c r="AF29" s="7">
        <v>5</v>
      </c>
      <c r="AG29" s="7">
        <v>1.64</v>
      </c>
      <c r="AH29" s="7">
        <f>AF29/AG29</f>
        <v>3.0487804878048781</v>
      </c>
    </row>
    <row r="30" spans="1:34" x14ac:dyDescent="0.4">
      <c r="A30"/>
      <c r="C30" s="13">
        <v>-20</v>
      </c>
      <c r="D30" s="2"/>
      <c r="E30" s="5"/>
      <c r="F30" s="5"/>
      <c r="G30" s="5">
        <v>4.05</v>
      </c>
      <c r="H30" s="5">
        <v>1.95</v>
      </c>
      <c r="I30" s="5"/>
      <c r="J30" s="5"/>
      <c r="K30" s="5">
        <f>G30/H30</f>
        <v>2.0769230769230771</v>
      </c>
      <c r="L30" s="17"/>
      <c r="M30" s="6">
        <v>55</v>
      </c>
      <c r="N30" s="13"/>
      <c r="O30" s="13">
        <v>-20</v>
      </c>
      <c r="P30" s="13"/>
      <c r="Q30" s="5"/>
      <c r="R30" s="5"/>
      <c r="S30" s="5">
        <v>3.39</v>
      </c>
      <c r="T30" s="5">
        <v>2.48</v>
      </c>
      <c r="U30" s="5"/>
      <c r="V30" s="5"/>
      <c r="W30" s="5">
        <f>S30/T30</f>
        <v>1.3669354838709677</v>
      </c>
      <c r="X30" s="19"/>
      <c r="Y30" s="17"/>
      <c r="Z30" s="5"/>
      <c r="AA30" s="5"/>
      <c r="AB30" s="5"/>
      <c r="AC30" s="5"/>
      <c r="AD30" s="13"/>
      <c r="AE30" s="13"/>
      <c r="AF30" s="7"/>
      <c r="AG30" s="7"/>
      <c r="AH30" s="7"/>
    </row>
    <row r="31" spans="1:34" x14ac:dyDescent="0.4">
      <c r="A31" s="3"/>
      <c r="C31" s="2">
        <v>-15</v>
      </c>
      <c r="D31" s="2"/>
      <c r="E31" s="5"/>
      <c r="F31" s="5"/>
      <c r="G31" s="5">
        <v>5</v>
      </c>
      <c r="H31" s="5">
        <v>2.11</v>
      </c>
      <c r="I31" s="5"/>
      <c r="J31" s="5"/>
      <c r="K31" s="5">
        <f>G31/H31</f>
        <v>2.3696682464454977</v>
      </c>
      <c r="L31" s="17"/>
      <c r="M31" s="6">
        <v>55</v>
      </c>
      <c r="N31" s="13"/>
      <c r="O31" s="13">
        <v>-15</v>
      </c>
      <c r="P31" s="13"/>
      <c r="Q31" s="5"/>
      <c r="R31" s="5"/>
      <c r="S31" s="5">
        <v>4.3</v>
      </c>
      <c r="T31" s="5">
        <v>2.61</v>
      </c>
      <c r="U31" s="5"/>
      <c r="V31" s="5"/>
      <c r="W31" s="5">
        <f>S31/T31</f>
        <v>1.6475095785440612</v>
      </c>
      <c r="X31" s="19"/>
      <c r="Y31" s="17"/>
      <c r="Z31" s="5"/>
      <c r="AA31" s="5"/>
      <c r="AB31" s="5"/>
      <c r="AC31" s="5"/>
      <c r="AD31" s="13"/>
      <c r="AE31" s="13" t="s">
        <v>38</v>
      </c>
      <c r="AF31" s="7">
        <v>6.69</v>
      </c>
      <c r="AG31" s="7">
        <v>1.76</v>
      </c>
      <c r="AH31" s="7">
        <f t="shared" ref="AH31:AH32" si="1">AF31/AG31</f>
        <v>3.8011363636363638</v>
      </c>
    </row>
    <row r="32" spans="1:34" x14ac:dyDescent="0.4">
      <c r="A32" s="3"/>
      <c r="C32" s="2">
        <v>-10</v>
      </c>
      <c r="D32" s="2"/>
      <c r="E32" s="5"/>
      <c r="F32" s="5"/>
      <c r="G32" s="5"/>
      <c r="H32" s="5"/>
      <c r="I32" s="5"/>
      <c r="J32" s="5"/>
      <c r="K32" s="5"/>
      <c r="L32" s="17"/>
      <c r="M32" s="6">
        <v>60</v>
      </c>
      <c r="N32" s="13"/>
      <c r="O32" s="13">
        <v>-10</v>
      </c>
      <c r="P32" s="13"/>
      <c r="Q32" s="5"/>
      <c r="R32" s="5"/>
      <c r="S32" s="5"/>
      <c r="T32" s="5"/>
      <c r="U32" s="5"/>
      <c r="V32" s="5"/>
      <c r="W32" s="5"/>
      <c r="X32" s="19"/>
      <c r="Y32" s="17" t="s">
        <v>39</v>
      </c>
      <c r="Z32" s="5">
        <v>5</v>
      </c>
      <c r="AA32" s="5">
        <v>2.5</v>
      </c>
      <c r="AB32" s="5">
        <v>5</v>
      </c>
      <c r="AC32" s="5">
        <v>1.98</v>
      </c>
      <c r="AD32" s="13"/>
      <c r="AE32" s="13" t="s">
        <v>40</v>
      </c>
      <c r="AF32" s="7">
        <v>5</v>
      </c>
      <c r="AG32" s="7">
        <v>1.02</v>
      </c>
      <c r="AH32" s="7">
        <f t="shared" si="1"/>
        <v>4.9019607843137258</v>
      </c>
    </row>
    <row r="33" spans="1:34" x14ac:dyDescent="0.4">
      <c r="A33" s="3"/>
      <c r="C33" s="2">
        <v>-7</v>
      </c>
      <c r="D33" s="2"/>
      <c r="E33" s="5"/>
      <c r="F33" s="5"/>
      <c r="G33" s="5">
        <v>5</v>
      </c>
      <c r="H33" s="5">
        <v>1.79</v>
      </c>
      <c r="I33" s="5"/>
      <c r="J33" s="5"/>
      <c r="K33" s="5">
        <f>G33/H33</f>
        <v>2.7932960893854748</v>
      </c>
      <c r="L33" s="17"/>
      <c r="M33" s="6">
        <v>60</v>
      </c>
      <c r="N33" s="13"/>
      <c r="O33" s="13">
        <v>-7</v>
      </c>
      <c r="P33" s="13"/>
      <c r="Q33" s="5"/>
      <c r="R33" s="5"/>
      <c r="S33" s="5">
        <v>5</v>
      </c>
      <c r="T33" s="5">
        <v>2.65</v>
      </c>
      <c r="U33" s="5"/>
      <c r="V33" s="5"/>
      <c r="W33" s="5">
        <f>S33/T33</f>
        <v>1.8867924528301887</v>
      </c>
      <c r="X33" s="19"/>
      <c r="Y33" s="5">
        <f>AA33*(1.029-(0.05*Z33/G35))</f>
        <v>2.7185999999999995</v>
      </c>
      <c r="Z33" s="5">
        <v>4.4000000000000004</v>
      </c>
      <c r="AA33" s="5">
        <v>2.76</v>
      </c>
      <c r="AB33" s="5">
        <v>4.5</v>
      </c>
      <c r="AC33" s="5">
        <v>2.2999999999999998</v>
      </c>
      <c r="AD33" s="13"/>
      <c r="AE33" s="13"/>
      <c r="AF33" s="19"/>
      <c r="AG33" s="19"/>
      <c r="AH33" s="20"/>
    </row>
    <row r="34" spans="1:34" x14ac:dyDescent="0.4">
      <c r="A34" s="3"/>
      <c r="C34" s="2">
        <v>2</v>
      </c>
      <c r="D34" s="2"/>
      <c r="E34" s="5"/>
      <c r="F34" s="5"/>
      <c r="G34" s="5">
        <v>5</v>
      </c>
      <c r="H34" s="5">
        <v>1.4</v>
      </c>
      <c r="I34" s="5"/>
      <c r="J34" s="5"/>
      <c r="K34" s="5">
        <f>G34/H34</f>
        <v>3.5714285714285716</v>
      </c>
      <c r="L34" s="17"/>
      <c r="M34" s="6">
        <v>60</v>
      </c>
      <c r="N34" s="13"/>
      <c r="O34" s="13">
        <v>2</v>
      </c>
      <c r="P34" s="13"/>
      <c r="Q34" s="5"/>
      <c r="R34" s="5"/>
      <c r="S34" s="5">
        <v>5</v>
      </c>
      <c r="T34" s="5">
        <v>2.1800000000000002</v>
      </c>
      <c r="U34" s="5"/>
      <c r="V34" s="5"/>
      <c r="W34" s="5">
        <f>S34/T34</f>
        <v>2.2935779816513762</v>
      </c>
      <c r="X34" s="19"/>
      <c r="Y34" s="5">
        <f>AA34*(0.906-(0.044*Z34/G35))</f>
        <v>4.8041728000000008</v>
      </c>
      <c r="Z34" s="5">
        <v>2.6</v>
      </c>
      <c r="AA34" s="5">
        <v>5.44</v>
      </c>
      <c r="AB34" s="5">
        <v>2.7</v>
      </c>
      <c r="AC34" s="5">
        <v>3.58</v>
      </c>
      <c r="AD34" s="13"/>
      <c r="AE34" s="13"/>
      <c r="AF34" s="19"/>
      <c r="AG34" s="19"/>
      <c r="AH34" s="20"/>
    </row>
    <row r="35" spans="1:34" x14ac:dyDescent="0.4">
      <c r="A35" s="3"/>
      <c r="C35" s="2">
        <v>7</v>
      </c>
      <c r="D35" s="2"/>
      <c r="E35" s="5"/>
      <c r="F35" s="5"/>
      <c r="G35" s="5">
        <v>5</v>
      </c>
      <c r="H35" s="5">
        <v>0.98</v>
      </c>
      <c r="I35" s="5"/>
      <c r="J35" s="5"/>
      <c r="K35" s="5">
        <f>G35/H35</f>
        <v>5.1020408163265305</v>
      </c>
      <c r="L35" s="17"/>
      <c r="M35" s="6">
        <v>60</v>
      </c>
      <c r="N35" s="13"/>
      <c r="O35" s="13">
        <v>7</v>
      </c>
      <c r="P35" s="13"/>
      <c r="Q35" s="5"/>
      <c r="R35" s="5"/>
      <c r="S35" s="5">
        <v>5</v>
      </c>
      <c r="T35" s="5">
        <v>1.65</v>
      </c>
      <c r="U35" s="5"/>
      <c r="V35" s="5"/>
      <c r="W35" s="5">
        <f>S35/T35</f>
        <v>3.0303030303030303</v>
      </c>
      <c r="X35" s="19"/>
      <c r="Y35" s="5">
        <f>K35</f>
        <v>5.1020408163265305</v>
      </c>
      <c r="Z35" s="5">
        <v>3</v>
      </c>
      <c r="AA35" s="5">
        <v>7.15</v>
      </c>
      <c r="AB35" s="5">
        <v>2.8</v>
      </c>
      <c r="AC35" s="5">
        <v>4.8899999999999997</v>
      </c>
      <c r="AD35" s="13"/>
      <c r="AE35" s="13"/>
      <c r="AF35" s="19"/>
      <c r="AG35" s="19"/>
      <c r="AH35" s="20"/>
    </row>
    <row r="36" spans="1:34" x14ac:dyDescent="0.4">
      <c r="A36" s="3"/>
      <c r="C36" s="2">
        <v>12</v>
      </c>
      <c r="D36" s="2"/>
      <c r="E36" s="5"/>
      <c r="F36" s="5"/>
      <c r="G36" s="5"/>
      <c r="H36" s="5"/>
      <c r="I36" s="5"/>
      <c r="J36" s="5"/>
      <c r="K36" s="5"/>
      <c r="L36" s="17"/>
      <c r="M36" s="6">
        <v>60</v>
      </c>
      <c r="N36" s="13"/>
      <c r="O36" s="13">
        <v>12</v>
      </c>
      <c r="P36" s="13"/>
      <c r="Q36" s="5"/>
      <c r="R36" s="5"/>
      <c r="S36" s="5"/>
      <c r="T36" s="5"/>
      <c r="U36" s="5"/>
      <c r="V36" s="5"/>
      <c r="W36" s="5"/>
      <c r="X36" s="19"/>
      <c r="Y36" s="17"/>
      <c r="Z36" s="5">
        <v>3.5</v>
      </c>
      <c r="AA36" s="5">
        <v>9.5500000000000007</v>
      </c>
      <c r="AB36" s="5">
        <v>3.4</v>
      </c>
      <c r="AC36" s="5">
        <v>6.92</v>
      </c>
      <c r="AD36" s="13"/>
      <c r="AE36" s="13"/>
      <c r="AF36" s="19"/>
      <c r="AG36" s="19"/>
      <c r="AH36" s="20"/>
    </row>
    <row r="37" spans="1:34" x14ac:dyDescent="0.4">
      <c r="A37" s="8"/>
      <c r="B37" s="8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4"/>
      <c r="O37" s="14"/>
      <c r="P37" s="14"/>
      <c r="Q37" s="18"/>
      <c r="R37" s="18"/>
      <c r="S37" s="18"/>
      <c r="T37" s="18"/>
      <c r="U37" s="18"/>
      <c r="V37" s="18"/>
      <c r="W37" s="18"/>
      <c r="X37" s="18"/>
      <c r="Y37" s="22"/>
      <c r="Z37" s="22"/>
      <c r="AA37" s="22"/>
      <c r="AB37" s="22"/>
      <c r="AC37" s="22"/>
      <c r="AD37" s="14"/>
      <c r="AE37" s="14"/>
      <c r="AF37" s="18"/>
      <c r="AG37" s="18"/>
      <c r="AH37" s="18"/>
    </row>
    <row r="38" spans="1:34" x14ac:dyDescent="0.4">
      <c r="A38" s="3" t="s">
        <v>0</v>
      </c>
      <c r="B38" s="1" t="s">
        <v>13</v>
      </c>
      <c r="C38" s="4">
        <v>-25</v>
      </c>
      <c r="D38" s="2"/>
      <c r="E38" s="5"/>
      <c r="F38" s="5"/>
      <c r="G38" s="5"/>
      <c r="H38" s="5"/>
      <c r="I38" s="5"/>
      <c r="J38" s="5"/>
      <c r="K38" s="5"/>
      <c r="L38" s="17"/>
      <c r="M38" s="6">
        <v>55</v>
      </c>
      <c r="N38" s="13"/>
      <c r="O38" s="4">
        <v>-25</v>
      </c>
      <c r="P38" s="13"/>
      <c r="Q38" s="5"/>
      <c r="R38" s="5"/>
      <c r="S38" s="5"/>
      <c r="T38" s="5"/>
      <c r="U38" s="5"/>
      <c r="V38" s="5"/>
      <c r="W38" s="5"/>
      <c r="X38" s="4">
        <v>3</v>
      </c>
      <c r="Y38" s="17"/>
      <c r="Z38" s="5"/>
      <c r="AA38" s="5"/>
      <c r="AB38" s="5"/>
      <c r="AC38" s="5"/>
      <c r="AD38" s="13"/>
      <c r="AE38" s="13" t="s">
        <v>37</v>
      </c>
      <c r="AF38" s="7">
        <v>6.7</v>
      </c>
      <c r="AG38" s="7">
        <v>2.21</v>
      </c>
      <c r="AH38" s="7">
        <f>AF38/AG38</f>
        <v>3.0316742081447967</v>
      </c>
    </row>
    <row r="39" spans="1:34" x14ac:dyDescent="0.4">
      <c r="A39"/>
      <c r="C39" s="13">
        <v>-20</v>
      </c>
      <c r="D39" s="2"/>
      <c r="E39" s="5"/>
      <c r="F39" s="5"/>
      <c r="G39" s="5">
        <v>4.45</v>
      </c>
      <c r="H39" s="5">
        <v>2.12</v>
      </c>
      <c r="I39" s="5"/>
      <c r="J39" s="5"/>
      <c r="K39" s="5">
        <f>G39/H39</f>
        <v>2.0990566037735849</v>
      </c>
      <c r="L39" s="17"/>
      <c r="M39" s="6">
        <v>55</v>
      </c>
      <c r="N39" s="13"/>
      <c r="O39" s="13">
        <v>-20</v>
      </c>
      <c r="P39" s="13"/>
      <c r="Q39" s="5"/>
      <c r="R39" s="5"/>
      <c r="S39" s="5">
        <v>3.9</v>
      </c>
      <c r="T39" s="5">
        <v>2.85</v>
      </c>
      <c r="U39" s="5"/>
      <c r="V39" s="5"/>
      <c r="W39" s="5">
        <f>S39/T39</f>
        <v>1.368421052631579</v>
      </c>
      <c r="X39" s="19"/>
      <c r="Y39" s="17"/>
      <c r="Z39" s="5"/>
      <c r="AA39" s="5"/>
      <c r="AB39" s="5"/>
      <c r="AC39" s="5"/>
      <c r="AD39" s="13"/>
      <c r="AE39" s="13"/>
      <c r="AF39" s="7"/>
      <c r="AG39" s="7"/>
      <c r="AH39" s="7"/>
    </row>
    <row r="40" spans="1:34" x14ac:dyDescent="0.4">
      <c r="A40" s="3"/>
      <c r="C40" s="2">
        <v>-15</v>
      </c>
      <c r="D40" s="2"/>
      <c r="E40" s="5"/>
      <c r="F40" s="5"/>
      <c r="G40" s="5">
        <v>5.6</v>
      </c>
      <c r="H40" s="5">
        <v>2.38</v>
      </c>
      <c r="I40" s="5"/>
      <c r="J40" s="5"/>
      <c r="K40" s="5">
        <f>G40/H40</f>
        <v>2.3529411764705883</v>
      </c>
      <c r="L40" s="17"/>
      <c r="M40" s="6">
        <v>55</v>
      </c>
      <c r="N40" s="13"/>
      <c r="O40" s="13">
        <v>-15</v>
      </c>
      <c r="P40" s="13"/>
      <c r="Q40" s="5"/>
      <c r="R40" s="5"/>
      <c r="S40" s="5">
        <v>5</v>
      </c>
      <c r="T40" s="5">
        <v>3.2</v>
      </c>
      <c r="U40" s="5"/>
      <c r="V40" s="5"/>
      <c r="W40" s="5">
        <f>S40/T40</f>
        <v>1.5625</v>
      </c>
      <c r="X40" s="19"/>
      <c r="Y40" s="17"/>
      <c r="Z40" s="5"/>
      <c r="AA40" s="5"/>
      <c r="AB40" s="5"/>
      <c r="AC40" s="5"/>
      <c r="AD40" s="13"/>
      <c r="AE40" s="13" t="s">
        <v>38</v>
      </c>
      <c r="AF40" s="7">
        <v>8.19</v>
      </c>
      <c r="AG40" s="7">
        <v>2.42</v>
      </c>
      <c r="AH40" s="7">
        <f t="shared" ref="AH40:AH41" si="2">AF40/AG40</f>
        <v>3.384297520661157</v>
      </c>
    </row>
    <row r="41" spans="1:34" x14ac:dyDescent="0.4">
      <c r="A41" s="3"/>
      <c r="C41" s="2">
        <v>-10</v>
      </c>
      <c r="D41" s="2"/>
      <c r="E41" s="5"/>
      <c r="F41" s="5"/>
      <c r="G41" s="5"/>
      <c r="H41" s="5"/>
      <c r="I41" s="5"/>
      <c r="J41" s="5"/>
      <c r="K41" s="5"/>
      <c r="L41" s="17"/>
      <c r="M41" s="6">
        <v>60</v>
      </c>
      <c r="N41" s="13"/>
      <c r="O41" s="13">
        <v>-10</v>
      </c>
      <c r="P41" s="13"/>
      <c r="Q41" s="5"/>
      <c r="R41" s="5"/>
      <c r="S41" s="5"/>
      <c r="T41" s="5"/>
      <c r="U41" s="5"/>
      <c r="V41" s="5"/>
      <c r="W41" s="5"/>
      <c r="X41" s="19"/>
      <c r="Y41" s="17" t="s">
        <v>39</v>
      </c>
      <c r="Z41" s="5">
        <v>7</v>
      </c>
      <c r="AA41" s="5">
        <v>2.6</v>
      </c>
      <c r="AB41" s="5">
        <v>6.2</v>
      </c>
      <c r="AC41" s="5">
        <v>1.84</v>
      </c>
      <c r="AD41" s="13"/>
      <c r="AE41" s="13" t="s">
        <v>40</v>
      </c>
      <c r="AF41" s="7">
        <v>6.7</v>
      </c>
      <c r="AG41" s="7">
        <v>1.42</v>
      </c>
      <c r="AH41" s="7">
        <f t="shared" si="2"/>
        <v>4.71830985915493</v>
      </c>
    </row>
    <row r="42" spans="1:34" x14ac:dyDescent="0.4">
      <c r="A42" s="3"/>
      <c r="C42" s="2">
        <v>-7</v>
      </c>
      <c r="D42" s="2"/>
      <c r="E42" s="5"/>
      <c r="F42" s="5"/>
      <c r="G42" s="5">
        <v>5.75</v>
      </c>
      <c r="H42" s="5">
        <v>1.95</v>
      </c>
      <c r="I42" s="5"/>
      <c r="J42" s="5"/>
      <c r="K42" s="5">
        <f>G42/H42</f>
        <v>2.9487179487179489</v>
      </c>
      <c r="L42" s="17"/>
      <c r="M42" s="6">
        <v>60</v>
      </c>
      <c r="N42" s="13"/>
      <c r="O42" s="13">
        <v>-7</v>
      </c>
      <c r="P42" s="13"/>
      <c r="Q42" s="5"/>
      <c r="R42" s="5"/>
      <c r="S42" s="5">
        <v>5.35</v>
      </c>
      <c r="T42" s="5">
        <v>2.7</v>
      </c>
      <c r="U42" s="5"/>
      <c r="V42" s="5"/>
      <c r="W42" s="5">
        <f>S42/T42</f>
        <v>1.9814814814814812</v>
      </c>
      <c r="X42" s="19"/>
      <c r="Y42" s="5">
        <f>AA42</f>
        <v>2.8</v>
      </c>
      <c r="Z42" s="5">
        <v>6.3</v>
      </c>
      <c r="AA42" s="5">
        <v>2.8</v>
      </c>
      <c r="AB42" s="5">
        <v>6.2</v>
      </c>
      <c r="AC42" s="5">
        <v>2.1800000000000002</v>
      </c>
      <c r="AD42" s="13"/>
      <c r="AE42" s="13"/>
      <c r="AF42" s="19"/>
      <c r="AG42" s="19"/>
      <c r="AH42" s="20"/>
    </row>
    <row r="43" spans="1:34" x14ac:dyDescent="0.4">
      <c r="A43" s="3"/>
      <c r="C43" s="2">
        <v>2</v>
      </c>
      <c r="D43" s="2"/>
      <c r="E43" s="5"/>
      <c r="F43" s="5"/>
      <c r="G43" s="5">
        <v>6.85</v>
      </c>
      <c r="H43" s="5">
        <v>2</v>
      </c>
      <c r="I43" s="5"/>
      <c r="J43" s="5"/>
      <c r="K43" s="5">
        <f>G43/H43</f>
        <v>3.4249999999999998</v>
      </c>
      <c r="L43" s="17"/>
      <c r="M43" s="6">
        <v>60</v>
      </c>
      <c r="N43" s="13"/>
      <c r="O43" s="13">
        <v>2</v>
      </c>
      <c r="P43" s="13"/>
      <c r="Q43" s="5"/>
      <c r="R43" s="5"/>
      <c r="S43" s="5">
        <v>6.25</v>
      </c>
      <c r="T43" s="5">
        <v>2.8</v>
      </c>
      <c r="U43" s="5"/>
      <c r="V43" s="5"/>
      <c r="W43" s="5">
        <f>S43/T43</f>
        <v>2.2321428571428572</v>
      </c>
      <c r="X43" s="19"/>
      <c r="Y43" s="5">
        <f t="shared" ref="Y43:Y44" si="3">AA43</f>
        <v>5.03</v>
      </c>
      <c r="Z43" s="5">
        <v>3.8</v>
      </c>
      <c r="AA43" s="5">
        <v>5.03</v>
      </c>
      <c r="AB43" s="5">
        <v>3.8</v>
      </c>
      <c r="AC43" s="5">
        <v>3.69</v>
      </c>
      <c r="AD43" s="13"/>
      <c r="AE43" s="13"/>
      <c r="AF43" s="19"/>
      <c r="AG43" s="19"/>
      <c r="AH43" s="20"/>
    </row>
    <row r="44" spans="1:34" x14ac:dyDescent="0.4">
      <c r="A44" s="3"/>
      <c r="C44" s="2">
        <v>7</v>
      </c>
      <c r="D44" s="2"/>
      <c r="E44" s="5"/>
      <c r="F44" s="5"/>
      <c r="G44" s="5">
        <v>7</v>
      </c>
      <c r="H44" s="5">
        <v>1.44</v>
      </c>
      <c r="I44" s="5"/>
      <c r="J44" s="5"/>
      <c r="K44" s="5">
        <f>G44/H44</f>
        <v>4.8611111111111116</v>
      </c>
      <c r="L44" s="17"/>
      <c r="M44" s="6">
        <v>60</v>
      </c>
      <c r="N44" s="13"/>
      <c r="O44" s="13">
        <v>7</v>
      </c>
      <c r="P44" s="13"/>
      <c r="Q44" s="5"/>
      <c r="R44" s="5"/>
      <c r="S44" s="5">
        <v>7</v>
      </c>
      <c r="T44" s="5">
        <v>2.4</v>
      </c>
      <c r="U44" s="5"/>
      <c r="V44" s="5"/>
      <c r="W44" s="5">
        <f>S44/T44</f>
        <v>2.916666666666667</v>
      </c>
      <c r="X44" s="19"/>
      <c r="Y44" s="5">
        <f t="shared" si="3"/>
        <v>6.56</v>
      </c>
      <c r="Z44" s="5">
        <v>3</v>
      </c>
      <c r="AA44" s="5">
        <v>6.56</v>
      </c>
      <c r="AB44" s="5">
        <v>2.5</v>
      </c>
      <c r="AC44" s="5">
        <v>4.5</v>
      </c>
      <c r="AD44" s="13"/>
      <c r="AE44" s="13"/>
      <c r="AF44" s="19"/>
      <c r="AG44" s="19"/>
      <c r="AH44" s="20"/>
    </row>
    <row r="45" spans="1:34" x14ac:dyDescent="0.4">
      <c r="A45" s="3"/>
      <c r="C45" s="2">
        <v>12</v>
      </c>
      <c r="D45" s="2"/>
      <c r="E45" s="5"/>
      <c r="F45" s="5"/>
      <c r="G45" s="5"/>
      <c r="H45" s="5"/>
      <c r="I45" s="5"/>
      <c r="J45" s="5"/>
      <c r="K45" s="5"/>
      <c r="L45" s="17"/>
      <c r="M45" s="6">
        <v>60</v>
      </c>
      <c r="N45" s="13"/>
      <c r="O45" s="13">
        <v>12</v>
      </c>
      <c r="P45" s="13"/>
      <c r="Q45" s="5"/>
      <c r="R45" s="5"/>
      <c r="S45" s="5"/>
      <c r="T45" s="5"/>
      <c r="U45" s="5"/>
      <c r="V45" s="5"/>
      <c r="W45" s="5"/>
      <c r="X45" s="19"/>
      <c r="Y45" s="17"/>
      <c r="Z45" s="5">
        <v>3.4</v>
      </c>
      <c r="AA45" s="5">
        <v>8.4700000000000006</v>
      </c>
      <c r="AB45" s="5">
        <v>3.1</v>
      </c>
      <c r="AC45" s="5">
        <v>6.55</v>
      </c>
      <c r="AD45" s="13"/>
      <c r="AE45" s="13"/>
      <c r="AF45" s="19"/>
      <c r="AG45" s="19"/>
      <c r="AH45" s="20"/>
    </row>
    <row r="46" spans="1:34" x14ac:dyDescent="0.4">
      <c r="A46" s="8"/>
      <c r="B46" s="8"/>
      <c r="C46" s="9"/>
      <c r="D46" s="9"/>
      <c r="E46" s="18"/>
      <c r="F46" s="18"/>
      <c r="G46" s="18"/>
      <c r="H46" s="18"/>
      <c r="I46" s="18"/>
      <c r="J46" s="18"/>
      <c r="K46" s="18"/>
      <c r="L46" s="18"/>
      <c r="M46" s="18"/>
      <c r="N46" s="14"/>
      <c r="O46" s="14"/>
      <c r="P46" s="14"/>
      <c r="Q46" s="18"/>
      <c r="R46" s="18"/>
      <c r="S46" s="18"/>
      <c r="T46" s="18"/>
      <c r="U46" s="18"/>
      <c r="V46" s="18"/>
      <c r="W46" s="18"/>
      <c r="X46" s="18"/>
      <c r="Y46" s="22"/>
      <c r="Z46" s="22"/>
      <c r="AA46" s="22"/>
      <c r="AB46" s="22"/>
      <c r="AC46" s="22"/>
      <c r="AD46" s="14"/>
      <c r="AE46" s="14"/>
      <c r="AF46" s="18"/>
      <c r="AG46" s="18"/>
      <c r="AH46" s="18"/>
    </row>
    <row r="47" spans="1:34" x14ac:dyDescent="0.4">
      <c r="A47" s="3" t="s">
        <v>4</v>
      </c>
      <c r="B47" s="1" t="s">
        <v>13</v>
      </c>
      <c r="C47" s="4">
        <v>-25</v>
      </c>
      <c r="D47" s="2"/>
      <c r="E47" s="5"/>
      <c r="F47" s="5"/>
      <c r="G47" s="5"/>
      <c r="H47" s="5"/>
      <c r="I47" s="5"/>
      <c r="J47" s="5"/>
      <c r="K47" s="5"/>
      <c r="L47" s="17"/>
      <c r="M47" s="6">
        <v>55</v>
      </c>
      <c r="N47" s="13"/>
      <c r="O47" s="4">
        <v>-25</v>
      </c>
      <c r="P47" s="13"/>
      <c r="Q47" s="5"/>
      <c r="R47" s="5"/>
      <c r="S47" s="5"/>
      <c r="T47" s="5"/>
      <c r="U47" s="5"/>
      <c r="V47" s="5"/>
      <c r="W47" s="5"/>
      <c r="X47" s="4">
        <v>6</v>
      </c>
      <c r="Y47" s="17"/>
      <c r="Z47" s="5"/>
      <c r="AA47" s="5"/>
      <c r="AB47" s="5"/>
      <c r="AC47" s="5"/>
      <c r="AD47" s="13"/>
      <c r="AE47" s="13" t="s">
        <v>37</v>
      </c>
      <c r="AF47" s="7">
        <v>6.7</v>
      </c>
      <c r="AG47" s="7">
        <v>2.21</v>
      </c>
      <c r="AH47" s="7">
        <f>AF47/AG47</f>
        <v>3.0316742081447967</v>
      </c>
    </row>
    <row r="48" spans="1:34" x14ac:dyDescent="0.4">
      <c r="A48"/>
      <c r="C48" s="13">
        <v>-20</v>
      </c>
      <c r="D48" s="2"/>
      <c r="E48" s="5"/>
      <c r="F48" s="5"/>
      <c r="G48" s="5">
        <v>4.45</v>
      </c>
      <c r="H48" s="5">
        <v>2.12</v>
      </c>
      <c r="I48" s="5"/>
      <c r="J48" s="5"/>
      <c r="K48" s="5">
        <f>G48/H48</f>
        <v>2.0990566037735849</v>
      </c>
      <c r="L48" s="17"/>
      <c r="M48" s="6">
        <v>55</v>
      </c>
      <c r="N48" s="13"/>
      <c r="O48" s="13">
        <v>-20</v>
      </c>
      <c r="P48" s="13"/>
      <c r="Q48" s="5"/>
      <c r="R48" s="5"/>
      <c r="S48" s="5">
        <v>3.9</v>
      </c>
      <c r="T48" s="5">
        <v>2.85</v>
      </c>
      <c r="U48" s="5"/>
      <c r="V48" s="5"/>
      <c r="W48" s="5">
        <f>S48/T48</f>
        <v>1.368421052631579</v>
      </c>
      <c r="X48" s="19"/>
      <c r="Y48" s="17"/>
      <c r="Z48" s="5"/>
      <c r="AA48" s="5"/>
      <c r="AB48" s="5"/>
      <c r="AC48" s="5"/>
      <c r="AD48" s="13"/>
      <c r="AE48" s="13"/>
      <c r="AF48" s="7"/>
      <c r="AG48" s="7"/>
      <c r="AH48" s="7"/>
    </row>
    <row r="49" spans="1:34" x14ac:dyDescent="0.4">
      <c r="A49" s="3"/>
      <c r="C49" s="2">
        <v>-15</v>
      </c>
      <c r="D49" s="2"/>
      <c r="E49" s="5"/>
      <c r="F49" s="5"/>
      <c r="G49" s="5">
        <v>5.6</v>
      </c>
      <c r="H49" s="5">
        <v>2.38</v>
      </c>
      <c r="I49" s="5"/>
      <c r="J49" s="5"/>
      <c r="K49" s="5">
        <f>G49/H49</f>
        <v>2.3529411764705883</v>
      </c>
      <c r="L49" s="17"/>
      <c r="M49" s="6">
        <v>55</v>
      </c>
      <c r="N49" s="13"/>
      <c r="O49" s="13">
        <v>-15</v>
      </c>
      <c r="P49" s="13"/>
      <c r="Q49" s="5"/>
      <c r="R49" s="5"/>
      <c r="S49" s="5">
        <v>5</v>
      </c>
      <c r="T49" s="5">
        <v>3.2</v>
      </c>
      <c r="U49" s="5"/>
      <c r="V49" s="5"/>
      <c r="W49" s="5">
        <f>S49/T49</f>
        <v>1.5625</v>
      </c>
      <c r="X49" s="19"/>
      <c r="Y49" s="17"/>
      <c r="Z49" s="5"/>
      <c r="AA49" s="5"/>
      <c r="AB49" s="5"/>
      <c r="AC49" s="5"/>
      <c r="AD49" s="13"/>
      <c r="AE49" s="13" t="s">
        <v>38</v>
      </c>
      <c r="AF49" s="7">
        <v>8.19</v>
      </c>
      <c r="AG49" s="7">
        <v>2.42</v>
      </c>
      <c r="AH49" s="7">
        <f t="shared" ref="AH49:AH50" si="4">AF49/AG49</f>
        <v>3.384297520661157</v>
      </c>
    </row>
    <row r="50" spans="1:34" x14ac:dyDescent="0.4">
      <c r="A50" s="3"/>
      <c r="C50" s="2">
        <v>-10</v>
      </c>
      <c r="D50" s="2"/>
      <c r="E50" s="5"/>
      <c r="F50" s="5"/>
      <c r="G50" s="5"/>
      <c r="H50" s="5"/>
      <c r="I50" s="5"/>
      <c r="J50" s="5"/>
      <c r="K50" s="5"/>
      <c r="L50" s="17"/>
      <c r="M50" s="6">
        <v>60</v>
      </c>
      <c r="N50" s="13"/>
      <c r="O50" s="13">
        <v>-10</v>
      </c>
      <c r="P50" s="13"/>
      <c r="Q50" s="5"/>
      <c r="R50" s="5"/>
      <c r="S50" s="5"/>
      <c r="T50" s="5"/>
      <c r="U50" s="5"/>
      <c r="V50" s="5"/>
      <c r="W50" s="5"/>
      <c r="X50" s="19"/>
      <c r="Y50" s="17" t="s">
        <v>39</v>
      </c>
      <c r="Z50" s="5">
        <v>7</v>
      </c>
      <c r="AA50" s="5">
        <v>2.6</v>
      </c>
      <c r="AB50" s="5">
        <v>6.2</v>
      </c>
      <c r="AC50" s="5">
        <v>1.84</v>
      </c>
      <c r="AD50" s="13"/>
      <c r="AE50" s="13" t="s">
        <v>40</v>
      </c>
      <c r="AF50" s="7">
        <v>6.7</v>
      </c>
      <c r="AG50" s="7">
        <v>1.42</v>
      </c>
      <c r="AH50" s="7">
        <f t="shared" si="4"/>
        <v>4.71830985915493</v>
      </c>
    </row>
    <row r="51" spans="1:34" x14ac:dyDescent="0.4">
      <c r="A51" s="3"/>
      <c r="C51" s="2">
        <v>-7</v>
      </c>
      <c r="D51" s="2"/>
      <c r="E51" s="5"/>
      <c r="F51" s="5"/>
      <c r="G51" s="5">
        <v>5.75</v>
      </c>
      <c r="H51" s="5">
        <v>1.95</v>
      </c>
      <c r="I51" s="5"/>
      <c r="J51" s="5"/>
      <c r="K51" s="5">
        <f>G51/H51</f>
        <v>2.9487179487179489</v>
      </c>
      <c r="L51" s="17"/>
      <c r="M51" s="6">
        <v>60</v>
      </c>
      <c r="N51" s="13"/>
      <c r="O51" s="13">
        <v>-7</v>
      </c>
      <c r="P51" s="13"/>
      <c r="Q51" s="5"/>
      <c r="R51" s="5"/>
      <c r="S51" s="5">
        <v>5.35</v>
      </c>
      <c r="T51" s="5">
        <v>2.7</v>
      </c>
      <c r="U51" s="5"/>
      <c r="V51" s="5"/>
      <c r="W51" s="5">
        <f>S51/T51</f>
        <v>1.9814814814814812</v>
      </c>
      <c r="X51" s="19"/>
      <c r="Y51" s="5">
        <f>AA51*(1.029-(0.05*Z51/G53))</f>
        <v>2.7551999999999994</v>
      </c>
      <c r="Z51" s="5">
        <v>6.3</v>
      </c>
      <c r="AA51" s="5">
        <v>2.8</v>
      </c>
      <c r="AB51" s="5">
        <v>6.2</v>
      </c>
      <c r="AC51" s="5">
        <v>2.1800000000000002</v>
      </c>
      <c r="AD51" s="13"/>
      <c r="AE51" s="13"/>
      <c r="AF51" s="19"/>
      <c r="AG51" s="19"/>
      <c r="AH51" s="20"/>
    </row>
    <row r="52" spans="1:34" x14ac:dyDescent="0.4">
      <c r="A52" s="3"/>
      <c r="C52" s="2">
        <v>2</v>
      </c>
      <c r="D52" s="2"/>
      <c r="E52" s="5"/>
      <c r="F52" s="5"/>
      <c r="G52" s="5">
        <v>6.85</v>
      </c>
      <c r="H52" s="5">
        <v>2</v>
      </c>
      <c r="I52" s="5"/>
      <c r="J52" s="5"/>
      <c r="K52" s="5">
        <f>G52/H52</f>
        <v>3.4249999999999998</v>
      </c>
      <c r="L52" s="17"/>
      <c r="M52" s="6">
        <v>60</v>
      </c>
      <c r="N52" s="13"/>
      <c r="O52" s="13">
        <v>2</v>
      </c>
      <c r="P52" s="13"/>
      <c r="Q52" s="5"/>
      <c r="R52" s="5"/>
      <c r="S52" s="5">
        <v>6.25</v>
      </c>
      <c r="T52" s="5">
        <v>2.8</v>
      </c>
      <c r="U52" s="5"/>
      <c r="V52" s="5"/>
      <c r="W52" s="5">
        <f>S52/T52</f>
        <v>2.2321428571428572</v>
      </c>
      <c r="X52" s="19"/>
      <c r="Y52" s="5">
        <f>AA52*(0.906-(0.044*Z52/G53))</f>
        <v>4.4370348571428577</v>
      </c>
      <c r="Z52" s="5">
        <v>3.8</v>
      </c>
      <c r="AA52" s="5">
        <v>5.03</v>
      </c>
      <c r="AB52" s="5">
        <v>3.8</v>
      </c>
      <c r="AC52" s="5">
        <v>3.69</v>
      </c>
      <c r="AD52" s="13"/>
      <c r="AE52" s="13"/>
      <c r="AF52" s="19"/>
      <c r="AG52" s="19"/>
      <c r="AH52" s="20"/>
    </row>
    <row r="53" spans="1:34" x14ac:dyDescent="0.4">
      <c r="A53" s="3"/>
      <c r="C53" s="2">
        <v>7</v>
      </c>
      <c r="D53" s="2"/>
      <c r="E53" s="5"/>
      <c r="F53" s="5"/>
      <c r="G53" s="5">
        <v>7</v>
      </c>
      <c r="H53" s="5">
        <v>1.44</v>
      </c>
      <c r="I53" s="5"/>
      <c r="J53" s="5"/>
      <c r="K53" s="5">
        <f>G53/H53</f>
        <v>4.8611111111111116</v>
      </c>
      <c r="L53" s="17"/>
      <c r="M53" s="6">
        <v>60</v>
      </c>
      <c r="N53" s="13"/>
      <c r="O53" s="13">
        <v>7</v>
      </c>
      <c r="P53" s="13"/>
      <c r="Q53" s="5"/>
      <c r="R53" s="5"/>
      <c r="S53" s="5">
        <v>7</v>
      </c>
      <c r="T53" s="5">
        <v>2.4</v>
      </c>
      <c r="U53" s="5"/>
      <c r="V53" s="5"/>
      <c r="W53" s="5">
        <f>S53/T53</f>
        <v>2.916666666666667</v>
      </c>
      <c r="X53" s="19"/>
      <c r="Y53" s="5">
        <f>K53</f>
        <v>4.8611111111111116</v>
      </c>
      <c r="Z53" s="5">
        <v>3</v>
      </c>
      <c r="AA53" s="5">
        <v>6.56</v>
      </c>
      <c r="AB53" s="5">
        <v>2.5</v>
      </c>
      <c r="AC53" s="5">
        <v>4.5</v>
      </c>
      <c r="AD53" s="13"/>
      <c r="AE53" s="13"/>
      <c r="AF53" s="19"/>
      <c r="AG53" s="19"/>
      <c r="AH53" s="20"/>
    </row>
    <row r="54" spans="1:34" x14ac:dyDescent="0.4">
      <c r="A54" s="3"/>
      <c r="C54" s="2">
        <v>12</v>
      </c>
      <c r="D54" s="2"/>
      <c r="E54" s="5"/>
      <c r="F54" s="5"/>
      <c r="G54" s="5"/>
      <c r="H54" s="5"/>
      <c r="I54" s="5"/>
      <c r="J54" s="5"/>
      <c r="K54" s="5"/>
      <c r="L54" s="17"/>
      <c r="M54" s="6">
        <v>60</v>
      </c>
      <c r="N54" s="13"/>
      <c r="O54" s="13">
        <v>12</v>
      </c>
      <c r="P54" s="13"/>
      <c r="Q54" s="5"/>
      <c r="R54" s="5"/>
      <c r="S54" s="5"/>
      <c r="T54" s="5"/>
      <c r="U54" s="5"/>
      <c r="V54" s="5"/>
      <c r="W54" s="5"/>
      <c r="X54" s="19"/>
      <c r="Y54" s="17"/>
      <c r="Z54" s="5">
        <v>3.4</v>
      </c>
      <c r="AA54" s="5">
        <v>8.4700000000000006</v>
      </c>
      <c r="AB54" s="5">
        <v>3.1</v>
      </c>
      <c r="AC54" s="5">
        <v>6.55</v>
      </c>
      <c r="AD54" s="13"/>
      <c r="AE54" s="13"/>
      <c r="AF54" s="19"/>
      <c r="AG54" s="19"/>
      <c r="AH54" s="20"/>
    </row>
    <row r="55" spans="1:34" x14ac:dyDescent="0.4">
      <c r="A55" s="8"/>
      <c r="B55" s="8"/>
      <c r="C55" s="9"/>
      <c r="D55" s="9"/>
      <c r="E55" s="18"/>
      <c r="F55" s="18"/>
      <c r="G55" s="18"/>
      <c r="H55" s="18"/>
      <c r="I55" s="18"/>
      <c r="J55" s="18"/>
      <c r="K55" s="18"/>
      <c r="L55" s="18"/>
      <c r="M55" s="18"/>
      <c r="N55" s="14"/>
      <c r="O55" s="14"/>
      <c r="P55" s="14"/>
      <c r="Q55" s="18"/>
      <c r="R55" s="18"/>
      <c r="S55" s="18"/>
      <c r="T55" s="18"/>
      <c r="U55" s="18"/>
      <c r="V55" s="18"/>
      <c r="W55" s="18"/>
      <c r="X55" s="18"/>
      <c r="Y55" s="22"/>
      <c r="Z55" s="22"/>
      <c r="AA55" s="22"/>
      <c r="AB55" s="22"/>
      <c r="AC55" s="22"/>
      <c r="AD55" s="14"/>
      <c r="AE55" s="14"/>
      <c r="AF55" s="18"/>
      <c r="AG55" s="18"/>
      <c r="AH55" s="18"/>
    </row>
    <row r="56" spans="1:34" x14ac:dyDescent="0.4">
      <c r="A56" s="3" t="s">
        <v>0</v>
      </c>
      <c r="B56" s="1" t="s">
        <v>14</v>
      </c>
      <c r="C56" s="4">
        <v>-25</v>
      </c>
      <c r="D56" s="2"/>
      <c r="E56" s="5"/>
      <c r="F56" s="5"/>
      <c r="G56" s="5"/>
      <c r="H56" s="5"/>
      <c r="I56" s="5"/>
      <c r="J56" s="5"/>
      <c r="K56" s="5"/>
      <c r="L56" s="17"/>
      <c r="M56" s="6">
        <v>55</v>
      </c>
      <c r="N56" s="13"/>
      <c r="O56" s="4">
        <v>-25</v>
      </c>
      <c r="P56" s="13"/>
      <c r="Q56" s="5"/>
      <c r="R56" s="5"/>
      <c r="S56" s="5"/>
      <c r="T56" s="5"/>
      <c r="U56" s="5"/>
      <c r="V56" s="5"/>
      <c r="W56" s="5"/>
      <c r="X56" s="4">
        <v>3</v>
      </c>
      <c r="Y56" s="17"/>
      <c r="Z56" s="5"/>
      <c r="AA56" s="5"/>
      <c r="AB56" s="5"/>
      <c r="AC56" s="5"/>
      <c r="AD56" s="13"/>
      <c r="AE56" s="13" t="s">
        <v>37</v>
      </c>
      <c r="AF56" s="7">
        <v>8.1999999999999993</v>
      </c>
      <c r="AG56" s="7">
        <v>3.02</v>
      </c>
      <c r="AH56" s="7">
        <f>AF56/AG56</f>
        <v>2.7152317880794699</v>
      </c>
    </row>
    <row r="57" spans="1:34" x14ac:dyDescent="0.4">
      <c r="A57"/>
      <c r="C57" s="13">
        <v>-20</v>
      </c>
      <c r="D57" s="2"/>
      <c r="E57" s="5"/>
      <c r="F57" s="5"/>
      <c r="G57" s="5">
        <v>4.95</v>
      </c>
      <c r="H57" s="5">
        <v>2.4300000000000002</v>
      </c>
      <c r="I57" s="5"/>
      <c r="J57" s="5"/>
      <c r="K57" s="5">
        <f>G57/H57</f>
        <v>2.0370370370370368</v>
      </c>
      <c r="L57" s="17"/>
      <c r="M57" s="6">
        <v>55</v>
      </c>
      <c r="N57" s="13"/>
      <c r="O57" s="13">
        <v>-20</v>
      </c>
      <c r="P57" s="13"/>
      <c r="Q57" s="5"/>
      <c r="R57" s="5"/>
      <c r="S57" s="5">
        <v>4.04</v>
      </c>
      <c r="T57" s="5">
        <v>3</v>
      </c>
      <c r="U57" s="5"/>
      <c r="V57" s="5"/>
      <c r="W57" s="5">
        <f>S57/T57</f>
        <v>1.3466666666666667</v>
      </c>
      <c r="X57" s="19"/>
      <c r="Y57" s="17"/>
      <c r="Z57" s="5"/>
      <c r="AA57" s="5"/>
      <c r="AB57" s="5"/>
      <c r="AC57" s="5"/>
      <c r="AD57" s="13"/>
      <c r="AE57" s="13"/>
      <c r="AF57" s="7"/>
      <c r="AG57" s="7"/>
      <c r="AH57" s="7"/>
    </row>
    <row r="58" spans="1:34" x14ac:dyDescent="0.4">
      <c r="A58" s="3"/>
      <c r="C58" s="2">
        <v>-15</v>
      </c>
      <c r="D58" s="2"/>
      <c r="E58" s="5"/>
      <c r="F58" s="5"/>
      <c r="G58" s="5">
        <v>7.4</v>
      </c>
      <c r="H58" s="5">
        <v>3.2</v>
      </c>
      <c r="I58" s="5"/>
      <c r="J58" s="5"/>
      <c r="K58" s="5">
        <v>2.31</v>
      </c>
      <c r="L58" s="17"/>
      <c r="M58" s="6">
        <v>55</v>
      </c>
      <c r="N58" s="13"/>
      <c r="O58" s="13">
        <v>-15</v>
      </c>
      <c r="P58" s="13"/>
      <c r="Q58" s="5"/>
      <c r="R58" s="5"/>
      <c r="S58" s="5">
        <v>5.4</v>
      </c>
      <c r="T58" s="5">
        <v>3.42</v>
      </c>
      <c r="U58" s="5"/>
      <c r="V58" s="5"/>
      <c r="W58" s="5">
        <f>S58/T58</f>
        <v>1.5789473684210529</v>
      </c>
      <c r="X58" s="19"/>
      <c r="Y58" s="17"/>
      <c r="Z58" s="5"/>
      <c r="AA58" s="5"/>
      <c r="AB58" s="5"/>
      <c r="AC58" s="5"/>
      <c r="AD58" s="13"/>
      <c r="AE58" s="13" t="s">
        <v>38</v>
      </c>
      <c r="AF58" s="7">
        <v>10.28</v>
      </c>
      <c r="AG58" s="7">
        <v>3.25</v>
      </c>
      <c r="AH58" s="7">
        <f t="shared" ref="AH58:AH59" si="5">AF58/AG58</f>
        <v>3.1630769230769227</v>
      </c>
    </row>
    <row r="59" spans="1:34" x14ac:dyDescent="0.4">
      <c r="A59" s="3"/>
      <c r="C59" s="2">
        <v>-10</v>
      </c>
      <c r="D59" s="2"/>
      <c r="E59" s="5"/>
      <c r="F59" s="5"/>
      <c r="G59" s="5"/>
      <c r="H59" s="5"/>
      <c r="I59" s="5"/>
      <c r="J59" s="5"/>
      <c r="K59" s="5"/>
      <c r="L59" s="17"/>
      <c r="M59" s="6">
        <v>60</v>
      </c>
      <c r="N59" s="13"/>
      <c r="O59" s="13">
        <v>-10</v>
      </c>
      <c r="P59" s="13"/>
      <c r="Q59" s="5"/>
      <c r="R59" s="5"/>
      <c r="S59" s="5"/>
      <c r="T59" s="5"/>
      <c r="U59" s="5"/>
      <c r="V59" s="5"/>
      <c r="W59" s="5"/>
      <c r="X59" s="19"/>
      <c r="Y59" s="17" t="s">
        <v>39</v>
      </c>
      <c r="Z59" s="5">
        <v>8</v>
      </c>
      <c r="AA59" s="5">
        <v>2.78</v>
      </c>
      <c r="AB59" s="5">
        <v>7.1</v>
      </c>
      <c r="AC59" s="5">
        <v>2.0299999999999998</v>
      </c>
      <c r="AD59" s="13"/>
      <c r="AE59" s="13" t="s">
        <v>40</v>
      </c>
      <c r="AF59" s="7">
        <v>9</v>
      </c>
      <c r="AG59" s="7">
        <v>2.15</v>
      </c>
      <c r="AH59" s="7">
        <f t="shared" si="5"/>
        <v>4.1860465116279073</v>
      </c>
    </row>
    <row r="60" spans="1:34" x14ac:dyDescent="0.4">
      <c r="A60" s="3"/>
      <c r="C60" s="2">
        <v>-7</v>
      </c>
      <c r="D60" s="2"/>
      <c r="E60" s="5"/>
      <c r="F60" s="5"/>
      <c r="G60" s="5">
        <v>6.25</v>
      </c>
      <c r="H60" s="5">
        <v>2.2000000000000002</v>
      </c>
      <c r="I60" s="5"/>
      <c r="J60" s="5"/>
      <c r="K60" s="5">
        <v>2.84</v>
      </c>
      <c r="L60" s="17"/>
      <c r="M60" s="6">
        <v>60</v>
      </c>
      <c r="N60" s="13"/>
      <c r="O60" s="13">
        <v>-7</v>
      </c>
      <c r="P60" s="13"/>
      <c r="Q60" s="5"/>
      <c r="R60" s="5"/>
      <c r="S60" s="5">
        <v>5.9</v>
      </c>
      <c r="T60" s="5">
        <v>3.06</v>
      </c>
      <c r="U60" s="5"/>
      <c r="V60" s="5"/>
      <c r="W60" s="5">
        <f>S60/T60</f>
        <v>1.9281045751633987</v>
      </c>
      <c r="X60" s="19"/>
      <c r="Y60" s="5">
        <f>AA60*(1.029-(0.05*Z60/G62))</f>
        <v>2.7822122222222223</v>
      </c>
      <c r="Z60" s="5">
        <v>7</v>
      </c>
      <c r="AA60" s="5">
        <v>2.81</v>
      </c>
      <c r="AB60" s="5">
        <v>7.1</v>
      </c>
      <c r="AC60" s="5">
        <v>2.34</v>
      </c>
      <c r="AD60" s="13"/>
      <c r="AE60" s="13"/>
      <c r="AF60" s="19"/>
      <c r="AG60" s="19"/>
      <c r="AH60" s="21"/>
    </row>
    <row r="61" spans="1:34" x14ac:dyDescent="0.4">
      <c r="A61" s="3"/>
      <c r="C61" s="2">
        <v>2</v>
      </c>
      <c r="D61" s="2"/>
      <c r="E61" s="5"/>
      <c r="F61" s="5"/>
      <c r="G61" s="5">
        <v>7</v>
      </c>
      <c r="H61" s="5">
        <v>2.06</v>
      </c>
      <c r="I61" s="5"/>
      <c r="J61" s="5"/>
      <c r="K61" s="5">
        <v>3.4</v>
      </c>
      <c r="L61" s="17"/>
      <c r="M61" s="6">
        <v>60</v>
      </c>
      <c r="N61" s="13"/>
      <c r="O61" s="13">
        <v>2</v>
      </c>
      <c r="P61" s="13"/>
      <c r="Q61" s="5"/>
      <c r="R61" s="5"/>
      <c r="S61" s="5">
        <v>6.3</v>
      </c>
      <c r="T61" s="5">
        <v>2.89</v>
      </c>
      <c r="U61" s="5"/>
      <c r="V61" s="5"/>
      <c r="W61" s="5">
        <f>S61/T61</f>
        <v>2.1799307958477505</v>
      </c>
      <c r="X61" s="19"/>
      <c r="Y61" s="5">
        <f>AA61*(0.906-(0.044*Z61/G62))</f>
        <v>3.442563555555556</v>
      </c>
      <c r="Z61" s="5">
        <v>4.3</v>
      </c>
      <c r="AA61" s="5">
        <v>3.89</v>
      </c>
      <c r="AB61" s="5">
        <v>4.3</v>
      </c>
      <c r="AC61" s="5">
        <v>3.16</v>
      </c>
      <c r="AD61" s="13"/>
      <c r="AE61" s="13"/>
      <c r="AF61" s="19"/>
      <c r="AG61" s="19"/>
      <c r="AH61" s="21"/>
    </row>
    <row r="62" spans="1:34" x14ac:dyDescent="0.4">
      <c r="A62" s="3"/>
      <c r="C62" s="2">
        <v>7</v>
      </c>
      <c r="D62" s="2"/>
      <c r="E62" s="5"/>
      <c r="F62" s="5"/>
      <c r="G62" s="5">
        <v>9</v>
      </c>
      <c r="H62" s="5">
        <v>1.98</v>
      </c>
      <c r="I62" s="5"/>
      <c r="J62" s="5"/>
      <c r="K62" s="5">
        <v>4.55</v>
      </c>
      <c r="L62" s="17"/>
      <c r="M62" s="6">
        <v>60</v>
      </c>
      <c r="N62" s="13"/>
      <c r="O62" s="13">
        <v>7</v>
      </c>
      <c r="P62" s="13"/>
      <c r="Q62" s="5"/>
      <c r="R62" s="5"/>
      <c r="S62" s="5">
        <v>8.9</v>
      </c>
      <c r="T62" s="5">
        <v>3.04</v>
      </c>
      <c r="U62" s="5"/>
      <c r="V62" s="5"/>
      <c r="W62" s="5">
        <f>S62/T62</f>
        <v>2.9276315789473686</v>
      </c>
      <c r="X62" s="19"/>
      <c r="Y62" s="5">
        <f>K62</f>
        <v>4.55</v>
      </c>
      <c r="Z62" s="5">
        <v>2.8</v>
      </c>
      <c r="AA62" s="5">
        <v>7.16</v>
      </c>
      <c r="AB62" s="5">
        <v>2.6</v>
      </c>
      <c r="AC62" s="5">
        <v>4.54</v>
      </c>
      <c r="AD62" s="13"/>
      <c r="AE62" s="13"/>
      <c r="AF62" s="19"/>
      <c r="AG62" s="19"/>
      <c r="AH62" s="21"/>
    </row>
    <row r="63" spans="1:34" x14ac:dyDescent="0.4">
      <c r="A63" s="3"/>
      <c r="C63" s="2">
        <v>12</v>
      </c>
      <c r="D63" s="2"/>
      <c r="E63" s="5"/>
      <c r="F63" s="5"/>
      <c r="G63" s="5"/>
      <c r="H63" s="5"/>
      <c r="I63" s="5"/>
      <c r="J63" s="5"/>
      <c r="K63" s="5"/>
      <c r="L63" s="17"/>
      <c r="M63" s="6">
        <v>60</v>
      </c>
      <c r="N63" s="13"/>
      <c r="O63" s="13">
        <v>12</v>
      </c>
      <c r="P63" s="13"/>
      <c r="Q63" s="5"/>
      <c r="R63" s="5"/>
      <c r="S63" s="5"/>
      <c r="T63" s="5"/>
      <c r="U63" s="5"/>
      <c r="V63" s="5"/>
      <c r="W63" s="5"/>
      <c r="X63" s="19"/>
      <c r="Y63" s="17"/>
      <c r="Z63" s="5">
        <v>3</v>
      </c>
      <c r="AA63" s="5">
        <v>8.74</v>
      </c>
      <c r="AB63" s="5">
        <v>3.2</v>
      </c>
      <c r="AC63" s="5">
        <v>6.61</v>
      </c>
      <c r="AD63" s="13"/>
      <c r="AE63" s="13"/>
      <c r="AF63" s="19"/>
      <c r="AG63" s="19"/>
      <c r="AH63" s="21"/>
    </row>
    <row r="64" spans="1:34" x14ac:dyDescent="0.4">
      <c r="A64" s="8"/>
      <c r="B64" s="8"/>
      <c r="C64" s="9"/>
      <c r="D64" s="9"/>
      <c r="E64" s="18"/>
      <c r="F64" s="18"/>
      <c r="G64" s="18"/>
      <c r="H64" s="18"/>
      <c r="I64" s="18"/>
      <c r="J64" s="18"/>
      <c r="K64" s="18"/>
      <c r="L64" s="18"/>
      <c r="M64" s="18"/>
      <c r="N64" s="14"/>
      <c r="O64" s="14"/>
      <c r="P64" s="14"/>
      <c r="Q64" s="18"/>
      <c r="R64" s="18"/>
      <c r="S64" s="18"/>
      <c r="T64" s="18"/>
      <c r="U64" s="18"/>
      <c r="V64" s="18"/>
      <c r="W64" s="18"/>
      <c r="X64" s="18"/>
      <c r="Y64" s="22"/>
      <c r="Z64" s="22"/>
      <c r="AA64" s="22"/>
      <c r="AB64" s="22"/>
      <c r="AC64" s="22"/>
      <c r="AD64" s="14"/>
      <c r="AE64" s="14"/>
      <c r="AF64" s="18"/>
      <c r="AG64" s="18"/>
      <c r="AH64" s="22"/>
    </row>
    <row r="65" spans="1:34" x14ac:dyDescent="0.4">
      <c r="A65" s="3" t="s">
        <v>4</v>
      </c>
      <c r="B65" s="1" t="s">
        <v>14</v>
      </c>
      <c r="C65" s="4">
        <v>-25</v>
      </c>
      <c r="D65" s="2"/>
      <c r="E65" s="5"/>
      <c r="F65" s="5"/>
      <c r="G65" s="5"/>
      <c r="H65" s="5"/>
      <c r="I65" s="5"/>
      <c r="J65" s="5"/>
      <c r="K65" s="5"/>
      <c r="L65" s="17"/>
      <c r="M65" s="6">
        <v>55</v>
      </c>
      <c r="N65" s="13"/>
      <c r="O65" s="4">
        <v>-25</v>
      </c>
      <c r="P65" s="13"/>
      <c r="Q65" s="5"/>
      <c r="R65" s="5"/>
      <c r="S65" s="5"/>
      <c r="T65" s="5"/>
      <c r="U65" s="5"/>
      <c r="V65" s="5"/>
      <c r="W65" s="5"/>
      <c r="X65" s="4">
        <v>6</v>
      </c>
      <c r="Y65" s="17"/>
      <c r="Z65" s="5"/>
      <c r="AA65" s="5"/>
      <c r="AB65" s="5"/>
      <c r="AC65" s="5"/>
      <c r="AD65" s="13"/>
      <c r="AE65" s="13" t="s">
        <v>37</v>
      </c>
      <c r="AF65" s="7">
        <v>8.1999999999999993</v>
      </c>
      <c r="AG65" s="7">
        <v>3.02</v>
      </c>
      <c r="AH65" s="7">
        <f>AF65/AG65</f>
        <v>2.7152317880794699</v>
      </c>
    </row>
    <row r="66" spans="1:34" x14ac:dyDescent="0.4">
      <c r="A66"/>
      <c r="C66" s="13">
        <v>-20</v>
      </c>
      <c r="D66" s="2"/>
      <c r="E66" s="5"/>
      <c r="F66" s="5"/>
      <c r="G66" s="5">
        <v>4.95</v>
      </c>
      <c r="H66" s="5">
        <v>2.4300000000000002</v>
      </c>
      <c r="I66" s="5"/>
      <c r="J66" s="5"/>
      <c r="K66" s="5">
        <f>G66/H66</f>
        <v>2.0370370370370368</v>
      </c>
      <c r="L66" s="17"/>
      <c r="M66" s="6">
        <v>55</v>
      </c>
      <c r="N66" s="13"/>
      <c r="O66" s="13">
        <v>-20</v>
      </c>
      <c r="P66" s="13"/>
      <c r="Q66" s="5"/>
      <c r="R66" s="5"/>
      <c r="S66" s="5">
        <v>4.04</v>
      </c>
      <c r="T66" s="5">
        <v>3</v>
      </c>
      <c r="U66" s="5"/>
      <c r="V66" s="5"/>
      <c r="W66" s="5">
        <f>S66/T66</f>
        <v>1.3466666666666667</v>
      </c>
      <c r="X66" s="19"/>
      <c r="Y66" s="17"/>
      <c r="Z66" s="5"/>
      <c r="AA66" s="5"/>
      <c r="AB66" s="5"/>
      <c r="AC66" s="5"/>
      <c r="AD66" s="13"/>
      <c r="AE66" s="13"/>
      <c r="AF66" s="7"/>
      <c r="AG66" s="7"/>
      <c r="AH66" s="7"/>
    </row>
    <row r="67" spans="1:34" x14ac:dyDescent="0.4">
      <c r="A67" s="3"/>
      <c r="C67" s="2">
        <v>-15</v>
      </c>
      <c r="D67" s="2"/>
      <c r="E67" s="5"/>
      <c r="F67" s="5"/>
      <c r="G67" s="5">
        <v>7.4</v>
      </c>
      <c r="H67" s="5">
        <v>3.2</v>
      </c>
      <c r="I67" s="5"/>
      <c r="J67" s="5"/>
      <c r="K67" s="5">
        <v>2.31</v>
      </c>
      <c r="L67" s="17"/>
      <c r="M67" s="6">
        <v>55</v>
      </c>
      <c r="N67" s="13"/>
      <c r="O67" s="13">
        <v>-15</v>
      </c>
      <c r="P67" s="13"/>
      <c r="Q67" s="5"/>
      <c r="R67" s="5"/>
      <c r="S67" s="5">
        <v>5.4</v>
      </c>
      <c r="T67" s="5">
        <v>3.42</v>
      </c>
      <c r="U67" s="5"/>
      <c r="V67" s="5"/>
      <c r="W67" s="5">
        <f>S67/T67</f>
        <v>1.5789473684210529</v>
      </c>
      <c r="X67" s="19"/>
      <c r="Y67" s="17"/>
      <c r="Z67" s="5"/>
      <c r="AA67" s="5"/>
      <c r="AB67" s="5"/>
      <c r="AC67" s="5"/>
      <c r="AD67" s="13"/>
      <c r="AE67" s="13" t="s">
        <v>38</v>
      </c>
      <c r="AF67" s="7">
        <v>10.28</v>
      </c>
      <c r="AG67" s="7">
        <v>3.25</v>
      </c>
      <c r="AH67" s="7">
        <f t="shared" ref="AH67:AH68" si="6">AF67/AG67</f>
        <v>3.1630769230769227</v>
      </c>
    </row>
    <row r="68" spans="1:34" x14ac:dyDescent="0.4">
      <c r="A68" s="3"/>
      <c r="C68" s="2">
        <v>-10</v>
      </c>
      <c r="D68" s="2"/>
      <c r="E68" s="5"/>
      <c r="F68" s="5"/>
      <c r="G68" s="5"/>
      <c r="H68" s="5"/>
      <c r="I68" s="5"/>
      <c r="J68" s="5"/>
      <c r="K68" s="5"/>
      <c r="L68" s="17"/>
      <c r="M68" s="6">
        <v>60</v>
      </c>
      <c r="N68" s="13"/>
      <c r="O68" s="13">
        <v>-10</v>
      </c>
      <c r="P68" s="13"/>
      <c r="Q68" s="5"/>
      <c r="R68" s="5"/>
      <c r="S68" s="5"/>
      <c r="T68" s="5"/>
      <c r="U68" s="5"/>
      <c r="V68" s="5"/>
      <c r="W68" s="5"/>
      <c r="X68" s="19"/>
      <c r="Y68" s="17" t="s">
        <v>39</v>
      </c>
      <c r="Z68" s="5">
        <v>8</v>
      </c>
      <c r="AA68" s="5">
        <v>2.78</v>
      </c>
      <c r="AB68" s="5">
        <v>7.1</v>
      </c>
      <c r="AC68" s="5">
        <v>2.0299999999999998</v>
      </c>
      <c r="AD68" s="13"/>
      <c r="AE68" s="13" t="s">
        <v>40</v>
      </c>
      <c r="AF68" s="7">
        <v>9</v>
      </c>
      <c r="AG68" s="7">
        <v>2.15</v>
      </c>
      <c r="AH68" s="7">
        <f t="shared" si="6"/>
        <v>4.1860465116279073</v>
      </c>
    </row>
    <row r="69" spans="1:34" x14ac:dyDescent="0.4">
      <c r="A69" s="3"/>
      <c r="C69" s="2">
        <v>-7</v>
      </c>
      <c r="D69" s="2"/>
      <c r="E69" s="5"/>
      <c r="F69" s="5"/>
      <c r="G69" s="5">
        <v>6.25</v>
      </c>
      <c r="H69" s="5">
        <v>2.2000000000000002</v>
      </c>
      <c r="I69" s="5"/>
      <c r="J69" s="5"/>
      <c r="K69" s="5">
        <v>2.84</v>
      </c>
      <c r="L69" s="17"/>
      <c r="M69" s="6">
        <v>60</v>
      </c>
      <c r="N69" s="13"/>
      <c r="O69" s="13">
        <v>-7</v>
      </c>
      <c r="P69" s="13"/>
      <c r="Q69" s="5"/>
      <c r="R69" s="5"/>
      <c r="S69" s="5">
        <v>5.9</v>
      </c>
      <c r="T69" s="5">
        <v>3.06</v>
      </c>
      <c r="U69" s="5"/>
      <c r="V69" s="5"/>
      <c r="W69" s="5">
        <f>S69/T69</f>
        <v>1.9281045751633987</v>
      </c>
      <c r="X69" s="19"/>
      <c r="Y69" s="5">
        <f>AA69*(1.029-(0.05*Z69/G71))</f>
        <v>2.7822122222222223</v>
      </c>
      <c r="Z69" s="5">
        <v>7</v>
      </c>
      <c r="AA69" s="5">
        <v>2.81</v>
      </c>
      <c r="AB69" s="5">
        <v>7.1</v>
      </c>
      <c r="AC69" s="5">
        <v>2.34</v>
      </c>
      <c r="AD69" s="13"/>
      <c r="AE69" s="13"/>
      <c r="AF69" s="13"/>
      <c r="AG69" s="13"/>
      <c r="AH69" s="15"/>
    </row>
    <row r="70" spans="1:34" x14ac:dyDescent="0.4">
      <c r="A70" s="3"/>
      <c r="C70" s="2">
        <v>2</v>
      </c>
      <c r="D70" s="2"/>
      <c r="E70" s="5"/>
      <c r="F70" s="5"/>
      <c r="G70" s="5">
        <v>7</v>
      </c>
      <c r="H70" s="5">
        <v>2.06</v>
      </c>
      <c r="I70" s="5"/>
      <c r="J70" s="5"/>
      <c r="K70" s="5">
        <v>3.4</v>
      </c>
      <c r="L70" s="17"/>
      <c r="M70" s="6">
        <v>60</v>
      </c>
      <c r="N70" s="13"/>
      <c r="O70" s="13">
        <v>2</v>
      </c>
      <c r="P70" s="13"/>
      <c r="Q70" s="5"/>
      <c r="R70" s="5"/>
      <c r="S70" s="5">
        <v>6.3</v>
      </c>
      <c r="T70" s="5">
        <v>2.89</v>
      </c>
      <c r="U70" s="5"/>
      <c r="V70" s="5"/>
      <c r="W70" s="5">
        <f>S70/T70</f>
        <v>2.1799307958477505</v>
      </c>
      <c r="X70" s="19"/>
      <c r="Y70" s="5">
        <f>AA70*(0.906-(0.044*Z70/G71))</f>
        <v>3.442563555555556</v>
      </c>
      <c r="Z70" s="5">
        <v>4.3</v>
      </c>
      <c r="AA70" s="5">
        <v>3.89</v>
      </c>
      <c r="AB70" s="5">
        <v>4.3</v>
      </c>
      <c r="AC70" s="5">
        <v>3.16</v>
      </c>
      <c r="AD70" s="13"/>
      <c r="AE70" s="13"/>
      <c r="AF70" s="13"/>
      <c r="AG70" s="13"/>
      <c r="AH70" s="15"/>
    </row>
    <row r="71" spans="1:34" x14ac:dyDescent="0.4">
      <c r="A71" s="3"/>
      <c r="C71" s="2">
        <v>7</v>
      </c>
      <c r="D71" s="2"/>
      <c r="E71" s="5"/>
      <c r="F71" s="5"/>
      <c r="G71" s="5">
        <v>9</v>
      </c>
      <c r="H71" s="5">
        <v>1.98</v>
      </c>
      <c r="I71" s="5"/>
      <c r="J71" s="5"/>
      <c r="K71" s="5">
        <v>4.55</v>
      </c>
      <c r="L71" s="17"/>
      <c r="M71" s="6">
        <v>60</v>
      </c>
      <c r="N71" s="13"/>
      <c r="O71" s="13">
        <v>7</v>
      </c>
      <c r="P71" s="13"/>
      <c r="Q71" s="5"/>
      <c r="R71" s="5"/>
      <c r="S71" s="5">
        <v>8.9</v>
      </c>
      <c r="T71" s="5">
        <v>3.04</v>
      </c>
      <c r="U71" s="5"/>
      <c r="V71" s="5"/>
      <c r="W71" s="5">
        <f>S71/T71</f>
        <v>2.9276315789473686</v>
      </c>
      <c r="X71" s="19"/>
      <c r="Y71" s="5">
        <f>K71</f>
        <v>4.55</v>
      </c>
      <c r="Z71" s="5">
        <v>2.8</v>
      </c>
      <c r="AA71" s="5">
        <v>7.16</v>
      </c>
      <c r="AB71" s="5">
        <v>2.6</v>
      </c>
      <c r="AC71" s="5">
        <v>4.54</v>
      </c>
      <c r="AD71" s="13"/>
      <c r="AE71" s="13"/>
      <c r="AF71" s="13"/>
      <c r="AG71" s="13"/>
      <c r="AH71" s="15"/>
    </row>
    <row r="72" spans="1:34" x14ac:dyDescent="0.4">
      <c r="A72" s="3"/>
      <c r="C72" s="2">
        <v>12</v>
      </c>
      <c r="D72" s="2"/>
      <c r="E72" s="5"/>
      <c r="F72" s="5"/>
      <c r="G72" s="5"/>
      <c r="H72" s="5"/>
      <c r="I72" s="5"/>
      <c r="J72" s="5"/>
      <c r="K72" s="5"/>
      <c r="L72" s="17"/>
      <c r="M72" s="6">
        <v>60</v>
      </c>
      <c r="N72" s="13"/>
      <c r="O72" s="13">
        <v>12</v>
      </c>
      <c r="P72" s="13"/>
      <c r="Q72" s="5"/>
      <c r="R72" s="5"/>
      <c r="S72" s="5"/>
      <c r="T72" s="5"/>
      <c r="U72" s="5"/>
      <c r="V72" s="5"/>
      <c r="W72" s="5"/>
      <c r="X72" s="19"/>
      <c r="Y72" s="17"/>
      <c r="Z72" s="5">
        <v>3</v>
      </c>
      <c r="AA72" s="5">
        <v>8.74</v>
      </c>
      <c r="AB72" s="5">
        <v>3.2</v>
      </c>
      <c r="AC72" s="5">
        <v>6.61</v>
      </c>
      <c r="AD72" s="13"/>
      <c r="AE72" s="13"/>
      <c r="AF72" s="13"/>
      <c r="AG72" s="13"/>
      <c r="AH72" s="15"/>
    </row>
    <row r="75" spans="1:34" x14ac:dyDescent="0.4">
      <c r="A75" s="1" t="s">
        <v>41</v>
      </c>
    </row>
    <row r="76" spans="1:34" x14ac:dyDescent="0.4">
      <c r="A76" s="2" t="s">
        <v>0</v>
      </c>
    </row>
    <row r="77" spans="1:34" x14ac:dyDescent="0.4">
      <c r="A77" t="s">
        <v>1</v>
      </c>
      <c r="F77" s="10"/>
    </row>
    <row r="78" spans="1:34" x14ac:dyDescent="0.4">
      <c r="A78" t="s">
        <v>2</v>
      </c>
      <c r="F78" s="11"/>
    </row>
    <row r="79" spans="1:34" x14ac:dyDescent="0.4">
      <c r="A79" t="s">
        <v>3</v>
      </c>
    </row>
    <row r="81" spans="1:1" x14ac:dyDescent="0.4">
      <c r="A81" t="s">
        <v>4</v>
      </c>
    </row>
    <row r="82" spans="1:1" x14ac:dyDescent="0.4">
      <c r="A82" t="s">
        <v>5</v>
      </c>
    </row>
    <row r="83" spans="1:1" x14ac:dyDescent="0.4">
      <c r="A83"/>
    </row>
    <row r="84" spans="1:1" x14ac:dyDescent="0.4">
      <c r="A84"/>
    </row>
    <row r="85" spans="1:1" x14ac:dyDescent="0.4">
      <c r="A85"/>
    </row>
  </sheetData>
  <phoneticPr fontId="9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109F-0510-43B0-BC6D-03A6F046468D}">
  <dimension ref="A1:AH3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7" sqref="A27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3" t="s">
        <v>6</v>
      </c>
      <c r="B4" s="1" t="s">
        <v>15</v>
      </c>
      <c r="C4" s="4">
        <v>-28</v>
      </c>
      <c r="D4" s="2"/>
      <c r="E4" s="5"/>
      <c r="F4" s="5"/>
      <c r="G4" s="5"/>
      <c r="H4" s="5"/>
      <c r="I4" s="5"/>
      <c r="J4" s="5"/>
      <c r="K4" s="5"/>
      <c r="L4" s="17"/>
      <c r="M4" s="6">
        <v>55</v>
      </c>
      <c r="N4" s="13"/>
      <c r="O4" s="4">
        <v>-28</v>
      </c>
      <c r="P4" s="13"/>
      <c r="Q4" s="5"/>
      <c r="R4" s="5"/>
      <c r="S4" s="5"/>
      <c r="T4" s="5"/>
      <c r="U4" s="5"/>
      <c r="V4" s="5"/>
      <c r="W4" s="5"/>
      <c r="X4" s="4">
        <v>6</v>
      </c>
      <c r="Y4" s="17"/>
      <c r="Z4" s="5"/>
      <c r="AA4" s="5"/>
      <c r="AB4" s="5"/>
      <c r="AC4" s="5"/>
      <c r="AD4" s="13"/>
      <c r="AE4" s="13" t="s">
        <v>37</v>
      </c>
      <c r="AF4" s="7">
        <v>8.8000000000000007</v>
      </c>
      <c r="AG4" s="7">
        <v>2.83</v>
      </c>
      <c r="AH4" s="7">
        <f>AF4/AG4</f>
        <v>3.1095406360424032</v>
      </c>
    </row>
    <row r="5" spans="1:34" x14ac:dyDescent="0.4">
      <c r="A5"/>
      <c r="C5" s="13">
        <v>-20</v>
      </c>
      <c r="D5" s="2"/>
      <c r="E5" s="5"/>
      <c r="F5" s="5"/>
      <c r="G5" s="5">
        <v>8.8000000000000007</v>
      </c>
      <c r="H5" s="5">
        <v>4.79</v>
      </c>
      <c r="I5" s="5"/>
      <c r="J5" s="5"/>
      <c r="K5" s="5">
        <f>G5/H5</f>
        <v>1.8371607515657622</v>
      </c>
      <c r="L5" s="17"/>
      <c r="M5" s="6">
        <v>55</v>
      </c>
      <c r="N5" s="13"/>
      <c r="O5" s="13">
        <v>-20</v>
      </c>
      <c r="P5" s="13"/>
      <c r="Q5" s="5"/>
      <c r="R5" s="5"/>
      <c r="S5" s="5">
        <v>8.5500000000000007</v>
      </c>
      <c r="T5" s="5">
        <v>5.9</v>
      </c>
      <c r="U5" s="5"/>
      <c r="V5" s="5"/>
      <c r="W5" s="5">
        <f>S5/T5</f>
        <v>1.4491525423728815</v>
      </c>
      <c r="X5" s="19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4" x14ac:dyDescent="0.4">
      <c r="A6" s="3"/>
      <c r="C6" s="2">
        <v>-15</v>
      </c>
      <c r="D6" s="2"/>
      <c r="E6" s="5"/>
      <c r="F6" s="5"/>
      <c r="G6" s="5">
        <v>9</v>
      </c>
      <c r="H6" s="5">
        <v>3.45</v>
      </c>
      <c r="I6" s="5"/>
      <c r="J6" s="5"/>
      <c r="K6" s="5">
        <f>G6/H6</f>
        <v>2.6086956521739131</v>
      </c>
      <c r="L6" s="17"/>
      <c r="M6" s="6">
        <v>55</v>
      </c>
      <c r="N6" s="13"/>
      <c r="O6" s="13">
        <v>-15</v>
      </c>
      <c r="P6" s="13"/>
      <c r="Q6" s="5"/>
      <c r="R6" s="5"/>
      <c r="S6" s="5">
        <v>9</v>
      </c>
      <c r="T6" s="5">
        <v>4.95</v>
      </c>
      <c r="U6" s="5"/>
      <c r="V6" s="5"/>
      <c r="W6" s="5">
        <f>S6/T6</f>
        <v>1.8181818181818181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9.07</v>
      </c>
      <c r="AG6" s="7">
        <v>3.01</v>
      </c>
      <c r="AH6" s="7">
        <f t="shared" ref="AH6:AH7" si="0">AF6/AG6</f>
        <v>3.0132890365448506</v>
      </c>
    </row>
    <row r="7" spans="1:34" x14ac:dyDescent="0.4">
      <c r="A7" s="3"/>
      <c r="C7" s="2">
        <v>-10</v>
      </c>
      <c r="D7" s="2"/>
      <c r="E7" s="5"/>
      <c r="F7" s="5"/>
      <c r="G7" s="5"/>
      <c r="H7" s="5"/>
      <c r="I7" s="5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9</v>
      </c>
      <c r="AA7" s="5">
        <v>2.9</v>
      </c>
      <c r="AB7" s="5">
        <v>9</v>
      </c>
      <c r="AC7" s="5">
        <v>2.04</v>
      </c>
      <c r="AD7" s="13"/>
      <c r="AE7" s="13" t="s">
        <v>40</v>
      </c>
      <c r="AF7" s="7">
        <v>8.8000000000000007</v>
      </c>
      <c r="AG7" s="7">
        <v>1.9</v>
      </c>
      <c r="AH7" s="7">
        <f t="shared" si="0"/>
        <v>4.6315789473684212</v>
      </c>
    </row>
    <row r="8" spans="1:34" x14ac:dyDescent="0.4">
      <c r="A8" s="3"/>
      <c r="C8" s="2">
        <v>-7</v>
      </c>
      <c r="D8" s="2"/>
      <c r="E8" s="5"/>
      <c r="F8" s="5"/>
      <c r="G8" s="5">
        <v>9</v>
      </c>
      <c r="H8" s="5">
        <v>3</v>
      </c>
      <c r="I8" s="5"/>
      <c r="J8" s="5"/>
      <c r="K8" s="5">
        <f>G8/H8</f>
        <v>3</v>
      </c>
      <c r="L8" s="17"/>
      <c r="M8" s="6">
        <v>60</v>
      </c>
      <c r="N8" s="13"/>
      <c r="O8" s="13">
        <v>-7</v>
      </c>
      <c r="P8" s="13"/>
      <c r="Q8" s="5"/>
      <c r="R8" s="5"/>
      <c r="S8" s="5">
        <v>9</v>
      </c>
      <c r="T8" s="5">
        <v>4.28</v>
      </c>
      <c r="U8" s="5"/>
      <c r="V8" s="5"/>
      <c r="W8" s="5">
        <f>S8/T8</f>
        <v>2.1028037383177569</v>
      </c>
      <c r="X8" s="19"/>
      <c r="Y8" s="5">
        <f>AA8*(1.029-(0.05*Z8/G10))</f>
        <v>2.9930488888888886</v>
      </c>
      <c r="Z8" s="5">
        <v>8</v>
      </c>
      <c r="AA8" s="5">
        <v>3.04</v>
      </c>
      <c r="AB8" s="5">
        <v>8</v>
      </c>
      <c r="AC8" s="5">
        <v>2.33</v>
      </c>
      <c r="AD8" s="13"/>
      <c r="AE8" s="13"/>
      <c r="AF8" s="19"/>
      <c r="AG8" s="19"/>
      <c r="AH8" s="20"/>
    </row>
    <row r="9" spans="1:34" x14ac:dyDescent="0.4">
      <c r="A9" s="3"/>
      <c r="C9" s="2">
        <v>2</v>
      </c>
      <c r="D9" s="2"/>
      <c r="E9" s="5"/>
      <c r="F9" s="5"/>
      <c r="G9" s="5">
        <v>9</v>
      </c>
      <c r="H9" s="5">
        <v>2.44</v>
      </c>
      <c r="I9" s="5"/>
      <c r="J9" s="5"/>
      <c r="K9" s="5">
        <f>G9/H9</f>
        <v>3.6885245901639343</v>
      </c>
      <c r="L9" s="17"/>
      <c r="M9" s="6">
        <v>60</v>
      </c>
      <c r="N9" s="13"/>
      <c r="O9" s="13">
        <v>2</v>
      </c>
      <c r="P9" s="13"/>
      <c r="Q9" s="5"/>
      <c r="R9" s="5"/>
      <c r="S9" s="5">
        <v>9</v>
      </c>
      <c r="T9" s="5">
        <v>3.9</v>
      </c>
      <c r="U9" s="5"/>
      <c r="V9" s="5"/>
      <c r="W9" s="5">
        <f>S9/T9</f>
        <v>2.3076923076923079</v>
      </c>
      <c r="X9" s="19"/>
      <c r="Y9" s="5">
        <f>AA9*(0.906-(0.044*Z9/G10))</f>
        <v>4.3484791111111116</v>
      </c>
      <c r="Z9" s="5">
        <v>4.9000000000000004</v>
      </c>
      <c r="AA9" s="5">
        <v>4.93</v>
      </c>
      <c r="AB9" s="5">
        <v>4.9000000000000004</v>
      </c>
      <c r="AC9" s="5">
        <v>3.46</v>
      </c>
      <c r="AD9" s="13"/>
      <c r="AE9" s="13"/>
      <c r="AF9" s="19"/>
      <c r="AG9" s="19"/>
      <c r="AH9" s="20"/>
    </row>
    <row r="10" spans="1:34" x14ac:dyDescent="0.4">
      <c r="A10" s="3"/>
      <c r="C10" s="2">
        <v>7</v>
      </c>
      <c r="D10" s="2"/>
      <c r="E10" s="5"/>
      <c r="F10" s="5"/>
      <c r="G10" s="5">
        <v>9</v>
      </c>
      <c r="H10" s="5">
        <v>1.79</v>
      </c>
      <c r="I10" s="5"/>
      <c r="J10" s="5"/>
      <c r="K10" s="5">
        <f>G10/H10</f>
        <v>5.027932960893855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9</v>
      </c>
      <c r="T10" s="5">
        <v>2.93</v>
      </c>
      <c r="U10" s="5"/>
      <c r="V10" s="5"/>
      <c r="W10" s="5">
        <f>S10/T10</f>
        <v>3.0716723549488054</v>
      </c>
      <c r="X10" s="19"/>
      <c r="Y10" s="5">
        <f>K10</f>
        <v>5.027932960893855</v>
      </c>
      <c r="Z10" s="5">
        <v>5.4</v>
      </c>
      <c r="AA10" s="5">
        <v>6.26</v>
      </c>
      <c r="AB10" s="5">
        <v>5.0999999999999996</v>
      </c>
      <c r="AC10" s="5">
        <v>4.4800000000000004</v>
      </c>
      <c r="AD10" s="13"/>
      <c r="AE10" s="13"/>
      <c r="AF10" s="19"/>
      <c r="AG10" s="19"/>
      <c r="AH10" s="20"/>
    </row>
    <row r="11" spans="1:34" x14ac:dyDescent="0.4">
      <c r="A11" s="3"/>
      <c r="C11" s="2">
        <v>12</v>
      </c>
      <c r="D11" s="2"/>
      <c r="E11" s="5"/>
      <c r="F11" s="5"/>
      <c r="G11" s="5"/>
      <c r="H11" s="5"/>
      <c r="I11" s="5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6.3</v>
      </c>
      <c r="AA11" s="5">
        <v>8.19</v>
      </c>
      <c r="AB11" s="5">
        <v>6.1</v>
      </c>
      <c r="AC11" s="5">
        <v>6.02</v>
      </c>
      <c r="AD11" s="13"/>
      <c r="AE11" s="13"/>
      <c r="AF11" s="19"/>
      <c r="AG11" s="19"/>
      <c r="AH11" s="20"/>
    </row>
    <row r="12" spans="1:34" x14ac:dyDescent="0.4">
      <c r="A12" s="8"/>
      <c r="B12" s="8"/>
      <c r="C12" s="9"/>
      <c r="D12" s="9"/>
      <c r="E12" s="18"/>
      <c r="F12" s="18"/>
      <c r="G12" s="18"/>
      <c r="H12" s="18"/>
      <c r="I12" s="18"/>
      <c r="J12" s="18"/>
      <c r="K12" s="18"/>
      <c r="L12" s="18"/>
      <c r="M12" s="18"/>
      <c r="N12" s="14"/>
      <c r="O12" s="14"/>
      <c r="P12" s="14"/>
      <c r="Q12" s="18"/>
      <c r="R12" s="18"/>
      <c r="S12" s="18"/>
      <c r="T12" s="18"/>
      <c r="U12" s="18"/>
      <c r="V12" s="18"/>
      <c r="W12" s="18"/>
      <c r="X12" s="18"/>
      <c r="Y12" s="22"/>
      <c r="Z12" s="22"/>
      <c r="AA12" s="22"/>
      <c r="AB12" s="22"/>
      <c r="AC12" s="22"/>
      <c r="AD12" s="14"/>
      <c r="AE12" s="14"/>
      <c r="AF12" s="18"/>
      <c r="AG12" s="18"/>
      <c r="AH12" s="18"/>
    </row>
    <row r="13" spans="1:34" x14ac:dyDescent="0.4">
      <c r="A13" s="3" t="s">
        <v>6</v>
      </c>
      <c r="B13" s="1" t="s">
        <v>16</v>
      </c>
      <c r="C13" s="4">
        <v>-28</v>
      </c>
      <c r="D13" s="2"/>
      <c r="E13" s="5"/>
      <c r="F13" s="5"/>
      <c r="G13" s="5"/>
      <c r="H13" s="5"/>
      <c r="I13" s="5"/>
      <c r="J13" s="5"/>
      <c r="K13" s="5"/>
      <c r="L13" s="17"/>
      <c r="M13" s="6">
        <v>55</v>
      </c>
      <c r="N13" s="13"/>
      <c r="O13" s="4">
        <v>-28</v>
      </c>
      <c r="P13" s="13"/>
      <c r="Q13" s="5"/>
      <c r="R13" s="5"/>
      <c r="S13" s="5"/>
      <c r="T13" s="5"/>
      <c r="U13" s="5"/>
      <c r="V13" s="5"/>
      <c r="W13" s="5"/>
      <c r="X13" s="4">
        <v>6</v>
      </c>
      <c r="Y13" s="17"/>
      <c r="Z13" s="5"/>
      <c r="AA13" s="5"/>
      <c r="AB13" s="5"/>
      <c r="AC13" s="5"/>
      <c r="AD13" s="13"/>
      <c r="AE13" s="13" t="s">
        <v>37</v>
      </c>
      <c r="AF13" s="7">
        <v>10.7</v>
      </c>
      <c r="AG13" s="7">
        <v>4</v>
      </c>
      <c r="AH13" s="7">
        <f>AF13/AG13</f>
        <v>2.6749999999999998</v>
      </c>
    </row>
    <row r="14" spans="1:34" x14ac:dyDescent="0.4">
      <c r="A14"/>
      <c r="C14" s="13">
        <v>-20</v>
      </c>
      <c r="D14" s="2"/>
      <c r="E14" s="5"/>
      <c r="F14" s="5"/>
      <c r="G14" s="5">
        <v>11.5</v>
      </c>
      <c r="H14" s="5">
        <v>6.05</v>
      </c>
      <c r="I14" s="5"/>
      <c r="J14" s="5"/>
      <c r="K14" s="5">
        <f>G14/H14</f>
        <v>1.9008264462809918</v>
      </c>
      <c r="L14" s="17"/>
      <c r="M14" s="6">
        <v>55</v>
      </c>
      <c r="N14" s="13"/>
      <c r="O14" s="13">
        <v>-20</v>
      </c>
      <c r="P14" s="13"/>
      <c r="Q14" s="5"/>
      <c r="R14" s="5"/>
      <c r="S14" s="5">
        <v>8.6999999999999993</v>
      </c>
      <c r="T14" s="5">
        <v>6</v>
      </c>
      <c r="U14" s="5"/>
      <c r="V14" s="5"/>
      <c r="W14" s="5">
        <f>S14/T14</f>
        <v>1.45</v>
      </c>
      <c r="X14" s="19"/>
      <c r="Y14" s="17"/>
      <c r="Z14" s="5"/>
      <c r="AA14" s="5"/>
      <c r="AB14" s="5"/>
      <c r="AC14" s="5"/>
      <c r="AD14" s="13"/>
      <c r="AE14" s="13"/>
      <c r="AF14" s="7"/>
      <c r="AG14" s="7"/>
      <c r="AH14" s="7"/>
    </row>
    <row r="15" spans="1:34" x14ac:dyDescent="0.4">
      <c r="A15" s="3"/>
      <c r="C15" s="2">
        <v>-15</v>
      </c>
      <c r="D15" s="2"/>
      <c r="E15" s="5"/>
      <c r="F15" s="5"/>
      <c r="G15" s="5">
        <v>12</v>
      </c>
      <c r="H15" s="5">
        <v>4.9000000000000004</v>
      </c>
      <c r="I15" s="5"/>
      <c r="J15" s="5"/>
      <c r="K15" s="5">
        <f>G15/H15</f>
        <v>2.4489795918367343</v>
      </c>
      <c r="L15" s="17"/>
      <c r="M15" s="6">
        <v>55</v>
      </c>
      <c r="N15" s="13"/>
      <c r="O15" s="13">
        <v>-15</v>
      </c>
      <c r="P15" s="13"/>
      <c r="Q15" s="5"/>
      <c r="R15" s="5"/>
      <c r="S15" s="5">
        <v>10.5</v>
      </c>
      <c r="T15" s="5">
        <v>6.2</v>
      </c>
      <c r="U15" s="5"/>
      <c r="V15" s="5"/>
      <c r="W15" s="5">
        <f>S15/T15</f>
        <v>1.6935483870967742</v>
      </c>
      <c r="X15" s="19"/>
      <c r="Y15" s="17"/>
      <c r="Z15" s="5"/>
      <c r="AA15" s="5"/>
      <c r="AB15" s="5"/>
      <c r="AC15" s="5"/>
      <c r="AD15" s="13"/>
      <c r="AE15" s="13" t="s">
        <v>38</v>
      </c>
      <c r="AF15" s="7">
        <v>11.42</v>
      </c>
      <c r="AG15" s="7">
        <v>4.2</v>
      </c>
      <c r="AH15" s="7">
        <f t="shared" ref="AH15:AH16" si="1">AF15/AG15</f>
        <v>2.7190476190476187</v>
      </c>
    </row>
    <row r="16" spans="1:34" x14ac:dyDescent="0.4">
      <c r="A16" s="3"/>
      <c r="C16" s="2">
        <v>-10</v>
      </c>
      <c r="D16" s="2"/>
      <c r="E16" s="5"/>
      <c r="F16" s="5"/>
      <c r="G16" s="5"/>
      <c r="H16" s="5"/>
      <c r="I16" s="5"/>
      <c r="J16" s="5"/>
      <c r="K16" s="5"/>
      <c r="L16" s="17"/>
      <c r="M16" s="6">
        <v>60</v>
      </c>
      <c r="N16" s="13"/>
      <c r="O16" s="13">
        <v>-10</v>
      </c>
      <c r="P16" s="13"/>
      <c r="Q16" s="5"/>
      <c r="R16" s="5"/>
      <c r="S16" s="5"/>
      <c r="T16" s="5"/>
      <c r="U16" s="5"/>
      <c r="V16" s="5"/>
      <c r="W16" s="5"/>
      <c r="X16" s="19"/>
      <c r="Y16" s="17" t="s">
        <v>39</v>
      </c>
      <c r="Z16" s="5">
        <v>9</v>
      </c>
      <c r="AA16" s="5">
        <v>2.9</v>
      </c>
      <c r="AB16" s="5">
        <v>9</v>
      </c>
      <c r="AC16" s="5">
        <v>2.04</v>
      </c>
      <c r="AD16" s="13"/>
      <c r="AE16" s="13" t="s">
        <v>40</v>
      </c>
      <c r="AF16" s="7">
        <v>10.7</v>
      </c>
      <c r="AG16" s="7">
        <v>2.73</v>
      </c>
      <c r="AH16" s="7">
        <f t="shared" si="1"/>
        <v>3.9194139194139193</v>
      </c>
    </row>
    <row r="17" spans="1:34" x14ac:dyDescent="0.4">
      <c r="A17" s="3"/>
      <c r="C17" s="2">
        <v>-7</v>
      </c>
      <c r="D17" s="2"/>
      <c r="E17" s="5"/>
      <c r="F17" s="5"/>
      <c r="G17" s="5">
        <v>12</v>
      </c>
      <c r="H17" s="5">
        <v>4.41</v>
      </c>
      <c r="I17" s="5"/>
      <c r="J17" s="5"/>
      <c r="K17" s="5">
        <f>G17/H17</f>
        <v>2.7210884353741496</v>
      </c>
      <c r="L17" s="17"/>
      <c r="M17" s="6">
        <v>60</v>
      </c>
      <c r="N17" s="13"/>
      <c r="O17" s="13">
        <v>-7</v>
      </c>
      <c r="P17" s="13"/>
      <c r="Q17" s="5"/>
      <c r="R17" s="5"/>
      <c r="S17" s="5">
        <v>12</v>
      </c>
      <c r="T17" s="5">
        <v>5.24</v>
      </c>
      <c r="U17" s="5"/>
      <c r="V17" s="5"/>
      <c r="W17" s="5">
        <f>S17/T17</f>
        <v>2.2900763358778624</v>
      </c>
      <c r="X17" s="19"/>
      <c r="Y17" s="5">
        <f>AA17*(1.029-(0.05*Z17/G19))</f>
        <v>3.0276641322314046</v>
      </c>
      <c r="Z17" s="5">
        <v>8</v>
      </c>
      <c r="AA17" s="5">
        <v>3.04</v>
      </c>
      <c r="AB17" s="5">
        <v>8</v>
      </c>
      <c r="AC17" s="5">
        <v>2.33</v>
      </c>
      <c r="AD17" s="13"/>
      <c r="AE17" s="13"/>
      <c r="AF17" s="19"/>
      <c r="AG17" s="19"/>
      <c r="AH17" s="20"/>
    </row>
    <row r="18" spans="1:34" x14ac:dyDescent="0.4">
      <c r="A18" s="3"/>
      <c r="C18" s="2">
        <v>2</v>
      </c>
      <c r="D18" s="2"/>
      <c r="E18" s="5"/>
      <c r="F18" s="5"/>
      <c r="G18" s="5">
        <v>12</v>
      </c>
      <c r="H18" s="5">
        <v>3.49</v>
      </c>
      <c r="I18" s="5"/>
      <c r="J18" s="5"/>
      <c r="K18" s="5">
        <f>G18/H18</f>
        <v>3.4383954154727792</v>
      </c>
      <c r="L18" s="17"/>
      <c r="M18" s="6">
        <v>60</v>
      </c>
      <c r="N18" s="13"/>
      <c r="O18" s="13">
        <v>2</v>
      </c>
      <c r="P18" s="13"/>
      <c r="Q18" s="5"/>
      <c r="R18" s="5"/>
      <c r="S18" s="5">
        <v>12</v>
      </c>
      <c r="T18" s="5">
        <v>5.24</v>
      </c>
      <c r="U18" s="5"/>
      <c r="V18" s="5"/>
      <c r="W18" s="5">
        <f>S18/T18</f>
        <v>2.2900763358778624</v>
      </c>
      <c r="X18" s="19"/>
      <c r="Y18" s="5">
        <f>AA18*(0.906-(0.044*Z18/G19))</f>
        <v>4.3787363636363636</v>
      </c>
      <c r="Z18" s="5">
        <v>4.9000000000000004</v>
      </c>
      <c r="AA18" s="5">
        <v>4.93</v>
      </c>
      <c r="AB18" s="5">
        <v>4.9000000000000004</v>
      </c>
      <c r="AC18" s="5">
        <v>3.46</v>
      </c>
      <c r="AD18" s="13"/>
      <c r="AE18" s="13"/>
      <c r="AF18" s="19"/>
      <c r="AG18" s="19"/>
      <c r="AH18" s="20"/>
    </row>
    <row r="19" spans="1:34" x14ac:dyDescent="0.4">
      <c r="A19" s="3"/>
      <c r="C19" s="2">
        <v>7</v>
      </c>
      <c r="D19" s="2"/>
      <c r="E19" s="5"/>
      <c r="F19" s="5"/>
      <c r="G19" s="5">
        <v>12.1</v>
      </c>
      <c r="H19" s="5">
        <v>2.5</v>
      </c>
      <c r="I19" s="5"/>
      <c r="J19" s="5"/>
      <c r="K19" s="5">
        <f>G19/H19</f>
        <v>4.84</v>
      </c>
      <c r="L19" s="17"/>
      <c r="M19" s="6">
        <v>60</v>
      </c>
      <c r="N19" s="13"/>
      <c r="O19" s="13">
        <v>7</v>
      </c>
      <c r="P19" s="13"/>
      <c r="Q19" s="5"/>
      <c r="R19" s="5"/>
      <c r="S19" s="5">
        <v>12.1</v>
      </c>
      <c r="T19" s="5">
        <v>3.98</v>
      </c>
      <c r="U19" s="5"/>
      <c r="V19" s="5"/>
      <c r="W19" s="5">
        <f>S19/T19</f>
        <v>3.0402010050251254</v>
      </c>
      <c r="X19" s="19"/>
      <c r="Y19" s="5">
        <f>K19</f>
        <v>4.84</v>
      </c>
      <c r="Z19" s="5">
        <v>5.4</v>
      </c>
      <c r="AA19" s="5">
        <v>6.26</v>
      </c>
      <c r="AB19" s="5">
        <v>5.0999999999999996</v>
      </c>
      <c r="AC19" s="5">
        <v>4.4800000000000004</v>
      </c>
      <c r="AD19" s="13"/>
      <c r="AE19" s="13"/>
      <c r="AF19" s="19"/>
      <c r="AG19" s="19"/>
      <c r="AH19" s="20"/>
    </row>
    <row r="20" spans="1:34" x14ac:dyDescent="0.4">
      <c r="A20" s="3"/>
      <c r="C20" s="2">
        <v>12</v>
      </c>
      <c r="D20" s="2"/>
      <c r="E20" s="5"/>
      <c r="F20" s="5"/>
      <c r="G20" s="5"/>
      <c r="H20" s="5"/>
      <c r="I20" s="5"/>
      <c r="J20" s="5"/>
      <c r="K20" s="5"/>
      <c r="L20" s="17"/>
      <c r="M20" s="6">
        <v>60</v>
      </c>
      <c r="N20" s="13"/>
      <c r="O20" s="13">
        <v>12</v>
      </c>
      <c r="P20" s="13"/>
      <c r="Q20" s="5"/>
      <c r="R20" s="5"/>
      <c r="S20" s="5"/>
      <c r="T20" s="5"/>
      <c r="U20" s="5"/>
      <c r="V20" s="5"/>
      <c r="W20" s="5"/>
      <c r="X20" s="19"/>
      <c r="Y20" s="17"/>
      <c r="Z20" s="5">
        <v>6.3</v>
      </c>
      <c r="AA20" s="5">
        <v>8.19</v>
      </c>
      <c r="AB20" s="5">
        <v>6.1</v>
      </c>
      <c r="AC20" s="5">
        <v>6.02</v>
      </c>
      <c r="AD20" s="13"/>
      <c r="AE20" s="13"/>
      <c r="AF20" s="19"/>
      <c r="AG20" s="19"/>
      <c r="AH20" s="20"/>
    </row>
    <row r="21" spans="1:34" x14ac:dyDescent="0.4">
      <c r="A21" s="8"/>
      <c r="B21" s="8"/>
      <c r="C21" s="9"/>
      <c r="D21" s="9"/>
      <c r="E21" s="18"/>
      <c r="F21" s="18"/>
      <c r="G21" s="18"/>
      <c r="H21" s="18"/>
      <c r="I21" s="18"/>
      <c r="J21" s="18"/>
      <c r="K21" s="18"/>
      <c r="L21" s="18"/>
      <c r="M21" s="18"/>
      <c r="N21" s="14"/>
      <c r="O21" s="14"/>
      <c r="P21" s="14"/>
      <c r="Q21" s="18"/>
      <c r="R21" s="18"/>
      <c r="S21" s="18"/>
      <c r="T21" s="18"/>
      <c r="U21" s="18"/>
      <c r="V21" s="18"/>
      <c r="W21" s="18"/>
      <c r="X21" s="18"/>
      <c r="Y21" s="22"/>
      <c r="Z21" s="22"/>
      <c r="AA21" s="22"/>
      <c r="AB21" s="22"/>
      <c r="AC21" s="22"/>
      <c r="AD21" s="14"/>
      <c r="AE21" s="14"/>
      <c r="AF21" s="18"/>
      <c r="AG21" s="18"/>
      <c r="AH21" s="18"/>
    </row>
    <row r="24" spans="1:34" x14ac:dyDescent="0.4">
      <c r="A24" s="1" t="s">
        <v>41</v>
      </c>
    </row>
    <row r="25" spans="1:34" x14ac:dyDescent="0.4">
      <c r="A25" s="2" t="s">
        <v>6</v>
      </c>
    </row>
    <row r="26" spans="1:34" x14ac:dyDescent="0.4">
      <c r="A26" t="s">
        <v>7</v>
      </c>
      <c r="F26" s="10"/>
    </row>
    <row r="27" spans="1:34" x14ac:dyDescent="0.4">
      <c r="A27" t="s">
        <v>8</v>
      </c>
      <c r="F27" s="11"/>
    </row>
    <row r="28" spans="1:34" x14ac:dyDescent="0.4">
      <c r="A28"/>
    </row>
    <row r="29" spans="1:34" x14ac:dyDescent="0.4">
      <c r="A29"/>
    </row>
    <row r="30" spans="1:34" x14ac:dyDescent="0.4">
      <c r="A30"/>
    </row>
    <row r="31" spans="1:34" x14ac:dyDescent="0.4">
      <c r="A31"/>
    </row>
    <row r="32" spans="1:34" x14ac:dyDescent="0.4">
      <c r="A32"/>
    </row>
    <row r="33" spans="1:1" x14ac:dyDescent="0.4">
      <c r="A33"/>
    </row>
    <row r="34" spans="1:1" x14ac:dyDescent="0.4">
      <c r="A34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7213-6786-4D92-B450-A3370DDBAF50}">
  <dimension ref="A1:AH70"/>
  <sheetViews>
    <sheetView zoomScale="85" zoomScaleNormal="85" workbookViewId="0">
      <pane xSplit="3" ySplit="3" topLeftCell="D30" activePane="bottomRight" state="frozen"/>
      <selection activeCell="C20" sqref="C20"/>
      <selection pane="topRight" activeCell="C20" sqref="C20"/>
      <selection pane="bottomLeft" activeCell="C20" sqref="C20"/>
      <selection pane="bottomRight" activeCell="B50" sqref="B50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54</v>
      </c>
      <c r="B5" s="1" t="s">
        <v>43</v>
      </c>
      <c r="C5" s="4">
        <v>-25</v>
      </c>
      <c r="D5" s="2"/>
      <c r="E5" s="5"/>
      <c r="F5" s="5"/>
      <c r="G5" s="5">
        <v>2.4500000000000002</v>
      </c>
      <c r="H5" s="5">
        <v>1.76</v>
      </c>
      <c r="I5" s="5"/>
      <c r="J5" s="5"/>
      <c r="K5" s="5">
        <f>G5/H5</f>
        <v>1.3920454545454546</v>
      </c>
      <c r="L5" s="17"/>
      <c r="M5" s="6">
        <v>55</v>
      </c>
      <c r="N5" s="13"/>
      <c r="O5" s="4">
        <v>-25</v>
      </c>
      <c r="P5" s="13"/>
      <c r="Q5" s="5"/>
      <c r="R5" s="5"/>
      <c r="S5" s="5">
        <v>3.6</v>
      </c>
      <c r="T5" s="5">
        <v>2.46</v>
      </c>
      <c r="U5" s="5"/>
      <c r="V5" s="5"/>
      <c r="W5" s="5">
        <f>S5/T5</f>
        <v>1.4634146341463414</v>
      </c>
      <c r="X5" s="4">
        <v>3</v>
      </c>
      <c r="Y5" s="17"/>
      <c r="Z5" s="5"/>
      <c r="AA5" s="5"/>
      <c r="AB5" s="5"/>
      <c r="AC5" s="5"/>
      <c r="AD5" s="13"/>
      <c r="AE5" s="13" t="s">
        <v>37</v>
      </c>
      <c r="AF5" s="7">
        <v>5</v>
      </c>
      <c r="AG5" s="7">
        <v>1.55</v>
      </c>
      <c r="AH5" s="7">
        <f>AF5/AG5</f>
        <v>3.225806451612903</v>
      </c>
    </row>
    <row r="6" spans="1:34" x14ac:dyDescent="0.4">
      <c r="A6"/>
      <c r="C6" s="13">
        <v>-20</v>
      </c>
      <c r="D6" s="2"/>
      <c r="E6" s="5"/>
      <c r="F6" s="5"/>
      <c r="G6" s="5">
        <v>4.7</v>
      </c>
      <c r="H6" s="5">
        <v>2.19</v>
      </c>
      <c r="I6" s="5"/>
      <c r="J6" s="5"/>
      <c r="K6" s="5">
        <f>G6/H6</f>
        <v>2.1461187214611872</v>
      </c>
      <c r="L6" s="17"/>
      <c r="M6" s="6">
        <v>55</v>
      </c>
      <c r="N6" s="13"/>
      <c r="O6" s="13">
        <v>-20</v>
      </c>
      <c r="P6" s="13"/>
      <c r="Q6" s="5"/>
      <c r="R6" s="5"/>
      <c r="S6" s="5">
        <v>4.25</v>
      </c>
      <c r="T6" s="5">
        <v>2.57</v>
      </c>
      <c r="U6" s="5"/>
      <c r="V6" s="5"/>
      <c r="W6" s="5">
        <f>S6/T6</f>
        <v>1.6536964980544748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3"/>
      <c r="C7" s="2">
        <v>-15</v>
      </c>
      <c r="D7" s="2"/>
      <c r="E7" s="5"/>
      <c r="F7" s="5"/>
      <c r="G7" s="5">
        <v>5</v>
      </c>
      <c r="H7" s="5">
        <v>1.94</v>
      </c>
      <c r="I7" s="5"/>
      <c r="J7" s="5"/>
      <c r="K7" s="5">
        <f>G7/H7</f>
        <v>2.5773195876288661</v>
      </c>
      <c r="L7" s="17"/>
      <c r="M7" s="6">
        <v>65</v>
      </c>
      <c r="N7" s="13"/>
      <c r="O7" s="13">
        <v>-15</v>
      </c>
      <c r="P7" s="13"/>
      <c r="Q7" s="5"/>
      <c r="R7" s="5"/>
      <c r="S7" s="5">
        <v>5</v>
      </c>
      <c r="T7" s="5">
        <v>2.63</v>
      </c>
      <c r="U7" s="5"/>
      <c r="V7" s="5"/>
      <c r="W7" s="5">
        <f>S7/T7</f>
        <v>1.9011406844106464</v>
      </c>
      <c r="X7" s="19"/>
      <c r="Y7" s="17"/>
      <c r="Z7" s="5"/>
      <c r="AA7" s="5"/>
      <c r="AB7" s="5"/>
      <c r="AC7" s="5"/>
      <c r="AD7" s="13"/>
      <c r="AE7" s="13" t="s">
        <v>38</v>
      </c>
      <c r="AF7" s="7">
        <v>5.2</v>
      </c>
      <c r="AG7" s="7">
        <v>1.44</v>
      </c>
      <c r="AH7" s="7">
        <f t="shared" ref="AH7:AH8" si="0">AF7/AG7</f>
        <v>3.6111111111111112</v>
      </c>
    </row>
    <row r="8" spans="1:34" x14ac:dyDescent="0.4">
      <c r="A8" s="3"/>
      <c r="C8" s="2">
        <v>-10</v>
      </c>
      <c r="D8" s="2"/>
      <c r="E8" s="5"/>
      <c r="F8" s="5"/>
      <c r="G8" s="5"/>
      <c r="H8" s="5"/>
      <c r="I8" s="5"/>
      <c r="J8" s="5"/>
      <c r="K8" s="5"/>
      <c r="L8" s="17"/>
      <c r="M8" s="6">
        <v>65</v>
      </c>
      <c r="N8" s="13"/>
      <c r="O8" s="13">
        <v>-10</v>
      </c>
      <c r="P8" s="13"/>
      <c r="Q8" s="5"/>
      <c r="R8" s="5"/>
      <c r="S8" s="5"/>
      <c r="T8" s="5"/>
      <c r="U8" s="5"/>
      <c r="V8" s="5"/>
      <c r="W8" s="5"/>
      <c r="X8" s="19"/>
      <c r="Y8" s="17" t="s">
        <v>39</v>
      </c>
      <c r="Z8" s="5">
        <v>5</v>
      </c>
      <c r="AA8" s="5">
        <v>2.82</v>
      </c>
      <c r="AB8" s="5">
        <v>5</v>
      </c>
      <c r="AC8" s="5">
        <v>2.0299999999999998</v>
      </c>
      <c r="AD8" s="13"/>
      <c r="AE8" s="13" t="s">
        <v>40</v>
      </c>
      <c r="AF8" s="7">
        <v>5</v>
      </c>
      <c r="AG8" s="7">
        <v>1</v>
      </c>
      <c r="AH8" s="7">
        <f t="shared" si="0"/>
        <v>5</v>
      </c>
    </row>
    <row r="9" spans="1:34" x14ac:dyDescent="0.4">
      <c r="A9" s="3"/>
      <c r="C9" s="2">
        <v>-7</v>
      </c>
      <c r="D9" s="2"/>
      <c r="E9" s="5"/>
      <c r="F9" s="5"/>
      <c r="G9" s="5">
        <v>5</v>
      </c>
      <c r="H9" s="5">
        <v>1.66</v>
      </c>
      <c r="I9" s="5"/>
      <c r="J9" s="5"/>
      <c r="K9" s="5">
        <f>G9/H9</f>
        <v>3.0120481927710845</v>
      </c>
      <c r="L9" s="17"/>
      <c r="M9" s="6">
        <v>75</v>
      </c>
      <c r="N9" s="13"/>
      <c r="O9" s="13">
        <v>-7</v>
      </c>
      <c r="P9" s="13"/>
      <c r="Q9" s="5"/>
      <c r="R9" s="5"/>
      <c r="S9" s="5">
        <v>5</v>
      </c>
      <c r="T9" s="5">
        <v>2.36</v>
      </c>
      <c r="U9" s="5"/>
      <c r="V9" s="5"/>
      <c r="W9" s="5">
        <f>S9/T9</f>
        <v>2.1186440677966103</v>
      </c>
      <c r="X9" s="19"/>
      <c r="Y9" s="5">
        <f>AA9*(1.029-(0.05*Z9/G11))</f>
        <v>3.2012499999999995</v>
      </c>
      <c r="Z9" s="5">
        <v>4.4000000000000004</v>
      </c>
      <c r="AA9" s="5">
        <v>3.25</v>
      </c>
      <c r="AB9" s="5">
        <v>4.4000000000000004</v>
      </c>
      <c r="AC9" s="5">
        <v>2.27</v>
      </c>
      <c r="AD9" s="13"/>
      <c r="AE9" s="13"/>
      <c r="AF9" s="19"/>
      <c r="AG9" s="19"/>
      <c r="AH9" s="20"/>
    </row>
    <row r="10" spans="1:34" x14ac:dyDescent="0.4">
      <c r="A10" s="3"/>
      <c r="C10" s="2">
        <v>2</v>
      </c>
      <c r="D10" s="2"/>
      <c r="E10" s="5"/>
      <c r="F10" s="5"/>
      <c r="G10" s="5">
        <v>5</v>
      </c>
      <c r="H10" s="5">
        <v>1.42</v>
      </c>
      <c r="I10" s="5"/>
      <c r="J10" s="5"/>
      <c r="K10" s="5">
        <f>G10/H10</f>
        <v>3.5211267605633805</v>
      </c>
      <c r="L10" s="17"/>
      <c r="M10" s="6">
        <v>75</v>
      </c>
      <c r="N10" s="13"/>
      <c r="O10" s="13">
        <v>2</v>
      </c>
      <c r="P10" s="13"/>
      <c r="Q10" s="5"/>
      <c r="R10" s="5"/>
      <c r="S10" s="5">
        <v>5</v>
      </c>
      <c r="T10" s="5">
        <v>2.14</v>
      </c>
      <c r="U10" s="5"/>
      <c r="V10" s="5"/>
      <c r="W10" s="5">
        <f>S10/T10</f>
        <v>2.3364485981308412</v>
      </c>
      <c r="X10" s="19"/>
      <c r="Y10" s="5">
        <f>AA10*(0.906-(0.044*Z10/G11))</f>
        <v>4.4200223999999997</v>
      </c>
      <c r="Z10" s="5">
        <v>2.7</v>
      </c>
      <c r="AA10" s="5">
        <v>5.01</v>
      </c>
      <c r="AB10" s="5">
        <v>2.7</v>
      </c>
      <c r="AC10" s="5">
        <v>3.55</v>
      </c>
      <c r="AD10" s="13"/>
      <c r="AE10" s="13"/>
      <c r="AF10" s="19"/>
      <c r="AG10" s="19"/>
      <c r="AH10" s="20"/>
    </row>
    <row r="11" spans="1:34" x14ac:dyDescent="0.4">
      <c r="A11" s="3"/>
      <c r="C11" s="2">
        <v>7</v>
      </c>
      <c r="D11" s="2"/>
      <c r="E11" s="5"/>
      <c r="F11" s="5"/>
      <c r="G11" s="5">
        <v>5</v>
      </c>
      <c r="H11" s="5">
        <v>0.99</v>
      </c>
      <c r="I11" s="5"/>
      <c r="J11" s="5"/>
      <c r="K11" s="5">
        <f>G11/H11</f>
        <v>5.0505050505050502</v>
      </c>
      <c r="L11" s="17"/>
      <c r="M11" s="6">
        <v>75</v>
      </c>
      <c r="N11" s="13"/>
      <c r="O11" s="13">
        <v>7</v>
      </c>
      <c r="P11" s="13"/>
      <c r="Q11" s="5"/>
      <c r="R11" s="5"/>
      <c r="S11" s="5">
        <v>5</v>
      </c>
      <c r="T11" s="5">
        <v>1.63</v>
      </c>
      <c r="U11" s="5"/>
      <c r="V11" s="5"/>
      <c r="W11" s="5">
        <f>S11/T11</f>
        <v>3.0674846625766872</v>
      </c>
      <c r="X11" s="19"/>
      <c r="Y11" s="5">
        <f>K11</f>
        <v>5.0505050505050502</v>
      </c>
      <c r="Z11" s="5">
        <v>2.6</v>
      </c>
      <c r="AA11" s="5">
        <v>6.44</v>
      </c>
      <c r="AB11" s="5">
        <v>2.4</v>
      </c>
      <c r="AC11" s="5">
        <v>4.6900000000000004</v>
      </c>
      <c r="AD11" s="13"/>
      <c r="AE11" s="13"/>
      <c r="AF11" s="19"/>
      <c r="AG11" s="19"/>
      <c r="AH11" s="20"/>
    </row>
    <row r="12" spans="1:34" x14ac:dyDescent="0.4">
      <c r="A12" s="3"/>
      <c r="C12" s="2">
        <v>12</v>
      </c>
      <c r="D12" s="2"/>
      <c r="E12" s="5"/>
      <c r="F12" s="5"/>
      <c r="G12" s="5"/>
      <c r="H12" s="5"/>
      <c r="I12" s="5"/>
      <c r="J12" s="5"/>
      <c r="K12" s="5"/>
      <c r="L12" s="17"/>
      <c r="M12" s="6">
        <v>75</v>
      </c>
      <c r="N12" s="13"/>
      <c r="O12" s="13">
        <v>12</v>
      </c>
      <c r="P12" s="13"/>
      <c r="Q12" s="5"/>
      <c r="R12" s="5"/>
      <c r="S12" s="5"/>
      <c r="T12" s="5"/>
      <c r="U12" s="5"/>
      <c r="V12" s="5"/>
      <c r="W12" s="5"/>
      <c r="X12" s="19"/>
      <c r="Y12" s="17"/>
      <c r="Z12" s="5">
        <v>3</v>
      </c>
      <c r="AA12" s="5">
        <v>8.2799999999999994</v>
      </c>
      <c r="AB12" s="5">
        <v>2.9</v>
      </c>
      <c r="AC12" s="5">
        <v>6.08</v>
      </c>
      <c r="AD12" s="13"/>
      <c r="AE12" s="13"/>
      <c r="AF12" s="19"/>
      <c r="AG12" s="19"/>
      <c r="AH12" s="20"/>
    </row>
    <row r="13" spans="1:34" x14ac:dyDescent="0.4">
      <c r="A13" s="8"/>
      <c r="B13" s="8"/>
      <c r="C13" s="9"/>
      <c r="D13" s="9"/>
      <c r="E13" s="18"/>
      <c r="F13" s="18"/>
      <c r="G13" s="18"/>
      <c r="H13" s="18"/>
      <c r="I13" s="18"/>
      <c r="J13" s="18"/>
      <c r="K13" s="18"/>
      <c r="L13" s="18"/>
      <c r="M13" s="18"/>
      <c r="N13" s="14"/>
      <c r="O13" s="14"/>
      <c r="P13" s="14"/>
      <c r="Q13" s="18"/>
      <c r="R13" s="18"/>
      <c r="S13" s="18"/>
      <c r="T13" s="18"/>
      <c r="U13" s="18"/>
      <c r="V13" s="18"/>
      <c r="W13" s="18"/>
      <c r="X13" s="18"/>
      <c r="Y13" s="22"/>
      <c r="Z13" s="22"/>
      <c r="AA13" s="22"/>
      <c r="AB13" s="22"/>
      <c r="AC13" s="22"/>
      <c r="AD13" s="14"/>
      <c r="AE13" s="14"/>
      <c r="AF13" s="18"/>
      <c r="AG13" s="18"/>
      <c r="AH13" s="18"/>
    </row>
    <row r="14" spans="1:34" x14ac:dyDescent="0.4">
      <c r="A14" s="3" t="s">
        <v>56</v>
      </c>
      <c r="B14" s="1" t="s">
        <v>43</v>
      </c>
      <c r="C14" s="4">
        <v>-25</v>
      </c>
      <c r="D14" s="2"/>
      <c r="E14" s="5"/>
      <c r="F14" s="5"/>
      <c r="G14" s="5">
        <v>2.4500000000000002</v>
      </c>
      <c r="H14" s="5">
        <v>1.76</v>
      </c>
      <c r="I14" s="5"/>
      <c r="J14" s="5"/>
      <c r="K14" s="5">
        <f>G14/H14</f>
        <v>1.3920454545454546</v>
      </c>
      <c r="L14" s="17"/>
      <c r="M14" s="6">
        <v>55</v>
      </c>
      <c r="N14" s="13"/>
      <c r="O14" s="4">
        <v>-25</v>
      </c>
      <c r="P14" s="13"/>
      <c r="Q14" s="5"/>
      <c r="R14" s="5"/>
      <c r="S14" s="5">
        <v>3.6</v>
      </c>
      <c r="T14" s="5">
        <v>2.46</v>
      </c>
      <c r="U14" s="5"/>
      <c r="V14" s="5"/>
      <c r="W14" s="5">
        <f>S14/T14</f>
        <v>1.4634146341463414</v>
      </c>
      <c r="X14" s="4">
        <v>6</v>
      </c>
      <c r="Y14" s="17"/>
      <c r="Z14" s="5"/>
      <c r="AA14" s="5"/>
      <c r="AB14" s="5"/>
      <c r="AC14" s="5"/>
      <c r="AD14" s="13"/>
      <c r="AE14" s="13" t="s">
        <v>37</v>
      </c>
      <c r="AF14" s="7">
        <v>5</v>
      </c>
      <c r="AG14" s="7">
        <v>1.55</v>
      </c>
      <c r="AH14" s="7">
        <f>AF14/AG14</f>
        <v>3.225806451612903</v>
      </c>
    </row>
    <row r="15" spans="1:34" x14ac:dyDescent="0.4">
      <c r="A15"/>
      <c r="C15" s="13">
        <v>-20</v>
      </c>
      <c r="D15" s="2"/>
      <c r="E15" s="5"/>
      <c r="F15" s="5"/>
      <c r="G15" s="5">
        <v>4.7</v>
      </c>
      <c r="H15" s="5">
        <v>2.19</v>
      </c>
      <c r="I15" s="5"/>
      <c r="J15" s="5"/>
      <c r="K15" s="5">
        <f>G15/H15</f>
        <v>2.1461187214611872</v>
      </c>
      <c r="L15" s="17"/>
      <c r="M15" s="6">
        <v>55</v>
      </c>
      <c r="N15" s="13"/>
      <c r="O15" s="13">
        <v>-20</v>
      </c>
      <c r="P15" s="13"/>
      <c r="Q15" s="5"/>
      <c r="R15" s="5"/>
      <c r="S15" s="5">
        <v>4.25</v>
      </c>
      <c r="T15" s="5">
        <v>2.57</v>
      </c>
      <c r="U15" s="5"/>
      <c r="V15" s="5"/>
      <c r="W15" s="5">
        <f>S15/T15</f>
        <v>1.6536964980544748</v>
      </c>
      <c r="X15" s="19"/>
      <c r="Y15" s="17"/>
      <c r="Z15" s="5"/>
      <c r="AA15" s="5"/>
      <c r="AB15" s="5"/>
      <c r="AC15" s="5"/>
      <c r="AD15" s="13"/>
      <c r="AE15" s="13"/>
      <c r="AF15" s="7"/>
      <c r="AG15" s="7"/>
      <c r="AH15" s="7"/>
    </row>
    <row r="16" spans="1:34" x14ac:dyDescent="0.4">
      <c r="A16" s="3"/>
      <c r="C16" s="2">
        <v>-15</v>
      </c>
      <c r="D16" s="2"/>
      <c r="E16" s="5"/>
      <c r="F16" s="5"/>
      <c r="G16" s="5">
        <v>5</v>
      </c>
      <c r="H16" s="5">
        <v>1.94</v>
      </c>
      <c r="I16" s="5"/>
      <c r="J16" s="5"/>
      <c r="K16" s="5">
        <f>G16/H16</f>
        <v>2.5773195876288661</v>
      </c>
      <c r="L16" s="17"/>
      <c r="M16" s="6">
        <v>65</v>
      </c>
      <c r="N16" s="13"/>
      <c r="O16" s="13">
        <v>-15</v>
      </c>
      <c r="P16" s="13"/>
      <c r="Q16" s="5"/>
      <c r="R16" s="5"/>
      <c r="S16" s="5">
        <v>5</v>
      </c>
      <c r="T16" s="5">
        <v>2.63</v>
      </c>
      <c r="U16" s="5"/>
      <c r="V16" s="5"/>
      <c r="W16" s="5">
        <f>S16/T16</f>
        <v>1.9011406844106464</v>
      </c>
      <c r="X16" s="19"/>
      <c r="Y16" s="17"/>
      <c r="Z16" s="5"/>
      <c r="AA16" s="5"/>
      <c r="AB16" s="5"/>
      <c r="AC16" s="5"/>
      <c r="AD16" s="13"/>
      <c r="AE16" s="13" t="s">
        <v>38</v>
      </c>
      <c r="AF16" s="7">
        <v>5.2</v>
      </c>
      <c r="AG16" s="7">
        <v>1.44</v>
      </c>
      <c r="AH16" s="7">
        <f t="shared" ref="AH16:AH17" si="1">AF16/AG16</f>
        <v>3.6111111111111112</v>
      </c>
    </row>
    <row r="17" spans="1:34" x14ac:dyDescent="0.4">
      <c r="A17" s="3"/>
      <c r="C17" s="2">
        <v>-10</v>
      </c>
      <c r="D17" s="2"/>
      <c r="E17" s="5"/>
      <c r="F17" s="5"/>
      <c r="G17" s="5"/>
      <c r="H17" s="5"/>
      <c r="I17" s="5"/>
      <c r="J17" s="5"/>
      <c r="K17" s="5"/>
      <c r="L17" s="17"/>
      <c r="M17" s="6">
        <v>65</v>
      </c>
      <c r="N17" s="13"/>
      <c r="O17" s="13">
        <v>-10</v>
      </c>
      <c r="P17" s="13"/>
      <c r="Q17" s="5"/>
      <c r="R17" s="5"/>
      <c r="S17" s="5"/>
      <c r="T17" s="5"/>
      <c r="U17" s="5"/>
      <c r="V17" s="5"/>
      <c r="W17" s="5"/>
      <c r="X17" s="19"/>
      <c r="Y17" s="17" t="s">
        <v>39</v>
      </c>
      <c r="Z17" s="5">
        <v>5</v>
      </c>
      <c r="AA17" s="5">
        <v>2.82</v>
      </c>
      <c r="AB17" s="5">
        <v>5</v>
      </c>
      <c r="AC17" s="5">
        <v>2.0299999999999998</v>
      </c>
      <c r="AD17" s="13"/>
      <c r="AE17" s="13" t="s">
        <v>40</v>
      </c>
      <c r="AF17" s="7">
        <v>5</v>
      </c>
      <c r="AG17" s="7">
        <v>1</v>
      </c>
      <c r="AH17" s="7">
        <f t="shared" si="1"/>
        <v>5</v>
      </c>
    </row>
    <row r="18" spans="1:34" x14ac:dyDescent="0.4">
      <c r="A18" s="3"/>
      <c r="C18" s="2">
        <v>-7</v>
      </c>
      <c r="D18" s="2"/>
      <c r="E18" s="5"/>
      <c r="F18" s="5"/>
      <c r="G18" s="5">
        <v>5</v>
      </c>
      <c r="H18" s="5">
        <v>1.66</v>
      </c>
      <c r="I18" s="5"/>
      <c r="J18" s="5"/>
      <c r="K18" s="5">
        <f>G18/H18</f>
        <v>3.0120481927710845</v>
      </c>
      <c r="L18" s="17"/>
      <c r="M18" s="6">
        <v>75</v>
      </c>
      <c r="N18" s="13"/>
      <c r="O18" s="13">
        <v>-7</v>
      </c>
      <c r="P18" s="13"/>
      <c r="Q18" s="5"/>
      <c r="R18" s="5"/>
      <c r="S18" s="5">
        <v>5</v>
      </c>
      <c r="T18" s="5">
        <v>2.36</v>
      </c>
      <c r="U18" s="5"/>
      <c r="V18" s="5"/>
      <c r="W18" s="5">
        <f>S18/T18</f>
        <v>2.1186440677966103</v>
      </c>
      <c r="X18" s="19"/>
      <c r="Y18" s="5">
        <f>AA18*(1.029-(0.05*Z18/G20))</f>
        <v>3.2012499999999995</v>
      </c>
      <c r="Z18" s="5">
        <v>4.4000000000000004</v>
      </c>
      <c r="AA18" s="5">
        <v>3.25</v>
      </c>
      <c r="AB18" s="5">
        <v>4.4000000000000004</v>
      </c>
      <c r="AC18" s="5">
        <v>2.27</v>
      </c>
      <c r="AD18" s="13"/>
      <c r="AE18" s="13"/>
      <c r="AF18" s="19"/>
      <c r="AG18" s="19"/>
      <c r="AH18" s="20"/>
    </row>
    <row r="19" spans="1:34" x14ac:dyDescent="0.4">
      <c r="A19" s="3"/>
      <c r="C19" s="2">
        <v>2</v>
      </c>
      <c r="D19" s="2"/>
      <c r="E19" s="5"/>
      <c r="F19" s="5"/>
      <c r="G19" s="5">
        <v>5</v>
      </c>
      <c r="H19" s="5">
        <v>1.42</v>
      </c>
      <c r="I19" s="5"/>
      <c r="J19" s="5"/>
      <c r="K19" s="5">
        <f>G19/H19</f>
        <v>3.5211267605633805</v>
      </c>
      <c r="L19" s="17"/>
      <c r="M19" s="6">
        <v>75</v>
      </c>
      <c r="N19" s="13"/>
      <c r="O19" s="13">
        <v>2</v>
      </c>
      <c r="P19" s="13"/>
      <c r="Q19" s="5"/>
      <c r="R19" s="5"/>
      <c r="S19" s="5">
        <v>5</v>
      </c>
      <c r="T19" s="5">
        <v>2.14</v>
      </c>
      <c r="U19" s="5"/>
      <c r="V19" s="5"/>
      <c r="W19" s="5">
        <f>S19/T19</f>
        <v>2.3364485981308412</v>
      </c>
      <c r="X19" s="19"/>
      <c r="Y19" s="5">
        <f>AA19*(0.906-(0.044*Z19/G20))</f>
        <v>4.4200223999999997</v>
      </c>
      <c r="Z19" s="5">
        <v>2.7</v>
      </c>
      <c r="AA19" s="5">
        <v>5.01</v>
      </c>
      <c r="AB19" s="5">
        <v>2.7</v>
      </c>
      <c r="AC19" s="5">
        <v>3.55</v>
      </c>
      <c r="AD19" s="13"/>
      <c r="AE19" s="13"/>
      <c r="AF19" s="19"/>
      <c r="AG19" s="19"/>
      <c r="AH19" s="20"/>
    </row>
    <row r="20" spans="1:34" x14ac:dyDescent="0.4">
      <c r="A20" s="3"/>
      <c r="C20" s="2">
        <v>7</v>
      </c>
      <c r="D20" s="2"/>
      <c r="E20" s="5"/>
      <c r="F20" s="5"/>
      <c r="G20" s="5">
        <v>5</v>
      </c>
      <c r="H20" s="5">
        <v>0.99</v>
      </c>
      <c r="I20" s="5"/>
      <c r="J20" s="5"/>
      <c r="K20" s="5">
        <f>G20/H20</f>
        <v>5.0505050505050502</v>
      </c>
      <c r="L20" s="17"/>
      <c r="M20" s="6">
        <v>75</v>
      </c>
      <c r="N20" s="13"/>
      <c r="O20" s="13">
        <v>7</v>
      </c>
      <c r="P20" s="13"/>
      <c r="Q20" s="5"/>
      <c r="R20" s="5"/>
      <c r="S20" s="5">
        <v>5</v>
      </c>
      <c r="T20" s="5">
        <v>1.63</v>
      </c>
      <c r="U20" s="5"/>
      <c r="V20" s="5"/>
      <c r="W20" s="5">
        <f>S20/T20</f>
        <v>3.0674846625766872</v>
      </c>
      <c r="X20" s="19"/>
      <c r="Y20" s="5">
        <f>K20</f>
        <v>5.0505050505050502</v>
      </c>
      <c r="Z20" s="5">
        <v>2.6</v>
      </c>
      <c r="AA20" s="5">
        <v>6.44</v>
      </c>
      <c r="AB20" s="5">
        <v>2.4</v>
      </c>
      <c r="AC20" s="5">
        <v>4.6900000000000004</v>
      </c>
      <c r="AD20" s="13"/>
      <c r="AE20" s="13"/>
      <c r="AF20" s="19"/>
      <c r="AG20" s="19"/>
      <c r="AH20" s="20"/>
    </row>
    <row r="21" spans="1:34" x14ac:dyDescent="0.4">
      <c r="A21" s="3"/>
      <c r="C21" s="2">
        <v>12</v>
      </c>
      <c r="D21" s="2"/>
      <c r="E21" s="5"/>
      <c r="F21" s="5"/>
      <c r="G21" s="5"/>
      <c r="H21" s="5"/>
      <c r="I21" s="5"/>
      <c r="J21" s="5"/>
      <c r="K21" s="5"/>
      <c r="L21" s="17"/>
      <c r="M21" s="6">
        <v>75</v>
      </c>
      <c r="N21" s="13"/>
      <c r="O21" s="13">
        <v>12</v>
      </c>
      <c r="P21" s="13"/>
      <c r="Q21" s="5"/>
      <c r="R21" s="5"/>
      <c r="S21" s="5"/>
      <c r="T21" s="5"/>
      <c r="U21" s="5"/>
      <c r="V21" s="5"/>
      <c r="W21" s="5"/>
      <c r="X21" s="19"/>
      <c r="Y21" s="17"/>
      <c r="Z21" s="5">
        <v>3</v>
      </c>
      <c r="AA21" s="5">
        <v>8.2799999999999994</v>
      </c>
      <c r="AB21" s="5">
        <v>2.9</v>
      </c>
      <c r="AC21" s="5">
        <v>6.08</v>
      </c>
      <c r="AD21" s="13"/>
      <c r="AE21" s="13"/>
      <c r="AF21" s="19"/>
      <c r="AG21" s="19"/>
      <c r="AH21" s="20"/>
    </row>
    <row r="22" spans="1:34" x14ac:dyDescent="0.4">
      <c r="A22" s="8"/>
      <c r="B22" s="8"/>
      <c r="C22" s="9"/>
      <c r="D22" s="9"/>
      <c r="E22" s="18"/>
      <c r="F22" s="18"/>
      <c r="G22" s="18"/>
      <c r="H22" s="18"/>
      <c r="I22" s="18"/>
      <c r="J22" s="18"/>
      <c r="K22" s="18"/>
      <c r="L22" s="18"/>
      <c r="M22" s="18"/>
      <c r="N22" s="14"/>
      <c r="O22" s="14"/>
      <c r="P22" s="14"/>
      <c r="Q22" s="18"/>
      <c r="R22" s="18"/>
      <c r="S22" s="18"/>
      <c r="T22" s="18"/>
      <c r="U22" s="18"/>
      <c r="V22" s="18"/>
      <c r="W22" s="18"/>
      <c r="X22" s="18"/>
      <c r="Y22" s="22"/>
      <c r="Z22" s="22"/>
      <c r="AA22" s="22"/>
      <c r="AB22" s="22"/>
      <c r="AC22" s="22"/>
      <c r="AD22" s="14"/>
      <c r="AE22" s="14"/>
      <c r="AF22" s="18"/>
      <c r="AG22" s="18"/>
      <c r="AH22" s="18"/>
    </row>
    <row r="23" spans="1:34" x14ac:dyDescent="0.4">
      <c r="A23" s="3" t="s">
        <v>57</v>
      </c>
      <c r="B23" s="1" t="s">
        <v>45</v>
      </c>
      <c r="C23" s="4">
        <v>-25</v>
      </c>
      <c r="D23" s="2"/>
      <c r="E23" s="5"/>
      <c r="F23" s="5"/>
      <c r="G23" s="5">
        <v>4.75</v>
      </c>
      <c r="H23" s="5">
        <v>2.5299999999999998</v>
      </c>
      <c r="I23" s="5"/>
      <c r="J23" s="5"/>
      <c r="K23" s="5">
        <f>G23/H23</f>
        <v>1.8774703557312253</v>
      </c>
      <c r="L23" s="17"/>
      <c r="M23" s="6">
        <v>55</v>
      </c>
      <c r="N23" s="13"/>
      <c r="O23" s="4">
        <v>-25</v>
      </c>
      <c r="P23" s="13"/>
      <c r="Q23" s="5"/>
      <c r="R23" s="5"/>
      <c r="S23" s="5">
        <v>3.95</v>
      </c>
      <c r="T23" s="5">
        <v>2.78</v>
      </c>
      <c r="U23" s="5"/>
      <c r="V23" s="5"/>
      <c r="W23" s="5">
        <f>S23/T23</f>
        <v>1.4208633093525183</v>
      </c>
      <c r="X23" s="4">
        <v>3</v>
      </c>
      <c r="Y23" s="17"/>
      <c r="Z23" s="5"/>
      <c r="AA23" s="5"/>
      <c r="AB23" s="5"/>
      <c r="AC23" s="5"/>
      <c r="AD23" s="13"/>
      <c r="AE23" s="13" t="s">
        <v>37</v>
      </c>
      <c r="AF23" s="7">
        <v>7</v>
      </c>
      <c r="AG23" s="7">
        <v>2.31</v>
      </c>
      <c r="AH23" s="7">
        <f>AF23/AG23</f>
        <v>3.0303030303030303</v>
      </c>
    </row>
    <row r="24" spans="1:34" x14ac:dyDescent="0.4">
      <c r="A24"/>
      <c r="C24" s="13">
        <v>-20</v>
      </c>
      <c r="D24" s="2"/>
      <c r="E24" s="5"/>
      <c r="F24" s="5"/>
      <c r="G24" s="5">
        <v>5.5</v>
      </c>
      <c r="H24" s="5">
        <v>2.56</v>
      </c>
      <c r="I24" s="5"/>
      <c r="J24" s="5"/>
      <c r="K24" s="5">
        <f>G24/H24</f>
        <v>2.1484375</v>
      </c>
      <c r="L24" s="17"/>
      <c r="M24" s="6">
        <v>55</v>
      </c>
      <c r="N24" s="13"/>
      <c r="O24" s="13">
        <v>-20</v>
      </c>
      <c r="P24" s="13"/>
      <c r="Q24" s="5"/>
      <c r="R24" s="5"/>
      <c r="S24" s="5">
        <v>4.9000000000000004</v>
      </c>
      <c r="T24" s="5">
        <v>2.97</v>
      </c>
      <c r="U24" s="5"/>
      <c r="V24" s="5"/>
      <c r="W24" s="5">
        <f>S24/T24</f>
        <v>1.6498316498316499</v>
      </c>
      <c r="X24" s="19"/>
      <c r="Y24" s="17"/>
      <c r="Z24" s="5"/>
      <c r="AA24" s="5"/>
      <c r="AB24" s="5"/>
      <c r="AC24" s="5"/>
      <c r="AD24" s="13"/>
      <c r="AE24" s="13"/>
      <c r="AF24" s="7"/>
      <c r="AG24" s="7"/>
      <c r="AH24" s="7"/>
    </row>
    <row r="25" spans="1:34" x14ac:dyDescent="0.4">
      <c r="A25" s="3"/>
      <c r="C25" s="2">
        <v>-15</v>
      </c>
      <c r="D25" s="2"/>
      <c r="E25" s="5"/>
      <c r="F25" s="5"/>
      <c r="G25" s="5">
        <v>6</v>
      </c>
      <c r="H25" s="5">
        <v>2.5</v>
      </c>
      <c r="I25" s="5"/>
      <c r="J25" s="5"/>
      <c r="K25" s="5">
        <f>G25/H25</f>
        <v>2.4</v>
      </c>
      <c r="L25" s="17"/>
      <c r="M25" s="6">
        <v>65</v>
      </c>
      <c r="N25" s="13"/>
      <c r="O25" s="13">
        <v>-15</v>
      </c>
      <c r="P25" s="13"/>
      <c r="Q25" s="5"/>
      <c r="R25" s="5"/>
      <c r="S25" s="5">
        <v>5.2</v>
      </c>
      <c r="T25" s="5">
        <v>2.89</v>
      </c>
      <c r="U25" s="5"/>
      <c r="V25" s="5"/>
      <c r="W25" s="5">
        <f>S25/T25</f>
        <v>1.7993079584775087</v>
      </c>
      <c r="X25" s="19"/>
      <c r="Y25" s="17"/>
      <c r="Z25" s="5"/>
      <c r="AA25" s="5"/>
      <c r="AB25" s="5"/>
      <c r="AC25" s="5"/>
      <c r="AD25" s="13"/>
      <c r="AE25" s="13" t="s">
        <v>38</v>
      </c>
      <c r="AF25" s="7">
        <v>8</v>
      </c>
      <c r="AG25" s="7">
        <v>2.2599999999999998</v>
      </c>
      <c r="AH25" s="7">
        <f t="shared" ref="AH25:AH26" si="2">AF25/AG25</f>
        <v>3.5398230088495577</v>
      </c>
    </row>
    <row r="26" spans="1:34" x14ac:dyDescent="0.4">
      <c r="A26" s="3"/>
      <c r="C26" s="2">
        <v>-10</v>
      </c>
      <c r="D26" s="2"/>
      <c r="E26" s="5"/>
      <c r="F26" s="5"/>
      <c r="G26" s="5"/>
      <c r="H26" s="5"/>
      <c r="I26" s="5"/>
      <c r="J26" s="5"/>
      <c r="K26" s="5"/>
      <c r="L26" s="17"/>
      <c r="M26" s="6">
        <v>65</v>
      </c>
      <c r="N26" s="13"/>
      <c r="O26" s="13">
        <v>-10</v>
      </c>
      <c r="P26" s="13"/>
      <c r="Q26" s="5"/>
      <c r="R26" s="5"/>
      <c r="S26" s="5"/>
      <c r="T26" s="5"/>
      <c r="U26" s="5"/>
      <c r="V26" s="5"/>
      <c r="W26" s="5"/>
      <c r="X26" s="19"/>
      <c r="Y26" s="17" t="s">
        <v>39</v>
      </c>
      <c r="Z26" s="5">
        <v>7</v>
      </c>
      <c r="AA26" s="5">
        <v>2.83</v>
      </c>
      <c r="AB26" s="5">
        <v>7</v>
      </c>
      <c r="AC26" s="5">
        <v>2.08</v>
      </c>
      <c r="AD26" s="13"/>
      <c r="AE26" s="13" t="s">
        <v>40</v>
      </c>
      <c r="AF26" s="7">
        <v>7</v>
      </c>
      <c r="AG26" s="7">
        <v>1.48</v>
      </c>
      <c r="AH26" s="7">
        <f t="shared" si="2"/>
        <v>4.7297297297297298</v>
      </c>
    </row>
    <row r="27" spans="1:34" x14ac:dyDescent="0.4">
      <c r="A27" s="3"/>
      <c r="C27" s="2">
        <v>-7</v>
      </c>
      <c r="D27" s="2"/>
      <c r="E27" s="5"/>
      <c r="F27" s="5"/>
      <c r="G27" s="5">
        <v>5.8</v>
      </c>
      <c r="H27" s="5">
        <v>1.93</v>
      </c>
      <c r="I27" s="5"/>
      <c r="J27" s="5"/>
      <c r="K27" s="5">
        <f>G27/H27</f>
        <v>3.0051813471502591</v>
      </c>
      <c r="L27" s="17"/>
      <c r="M27" s="6">
        <v>75</v>
      </c>
      <c r="N27" s="13"/>
      <c r="O27" s="13">
        <v>-7</v>
      </c>
      <c r="P27" s="13"/>
      <c r="Q27" s="5"/>
      <c r="R27" s="5"/>
      <c r="S27" s="5">
        <v>5.8</v>
      </c>
      <c r="T27" s="5">
        <v>2.74</v>
      </c>
      <c r="U27" s="5"/>
      <c r="V27" s="5"/>
      <c r="W27" s="5">
        <f>S27/T27</f>
        <v>2.1167883211678831</v>
      </c>
      <c r="X27" s="19"/>
      <c r="Y27" s="5">
        <f>AA27*(1.029-(0.05*Z27/G29))</f>
        <v>3.210168571428571</v>
      </c>
      <c r="Z27" s="5">
        <v>6.2</v>
      </c>
      <c r="AA27" s="5">
        <v>3.26</v>
      </c>
      <c r="AB27" s="5">
        <v>6.2</v>
      </c>
      <c r="AC27" s="5">
        <v>2.33</v>
      </c>
      <c r="AD27" s="13"/>
      <c r="AE27" s="13"/>
      <c r="AF27" s="19"/>
      <c r="AG27" s="19"/>
      <c r="AH27" s="20"/>
    </row>
    <row r="28" spans="1:34" x14ac:dyDescent="0.4">
      <c r="A28" s="3"/>
      <c r="C28" s="2">
        <v>2</v>
      </c>
      <c r="D28" s="2"/>
      <c r="E28" s="5"/>
      <c r="F28" s="5"/>
      <c r="G28" s="5">
        <v>6.85</v>
      </c>
      <c r="H28" s="5">
        <v>2</v>
      </c>
      <c r="I28" s="5"/>
      <c r="J28" s="5"/>
      <c r="K28" s="5">
        <f>G28/H28</f>
        <v>3.4249999999999998</v>
      </c>
      <c r="L28" s="17"/>
      <c r="M28" s="6">
        <v>75</v>
      </c>
      <c r="N28" s="13"/>
      <c r="O28" s="13">
        <v>2</v>
      </c>
      <c r="P28" s="13"/>
      <c r="Q28" s="5"/>
      <c r="R28" s="5"/>
      <c r="S28" s="5">
        <v>6.25</v>
      </c>
      <c r="T28" s="5">
        <v>2.67</v>
      </c>
      <c r="U28" s="5"/>
      <c r="V28" s="5"/>
      <c r="W28" s="5">
        <f>S28/T28</f>
        <v>2.3408239700374533</v>
      </c>
      <c r="X28" s="19"/>
      <c r="Y28" s="5">
        <f>AA28*(0.906-(0.044*Z28/G29))</f>
        <v>4.2606120000000001</v>
      </c>
      <c r="Z28" s="5">
        <v>3.8</v>
      </c>
      <c r="AA28" s="5">
        <v>4.83</v>
      </c>
      <c r="AB28" s="5">
        <v>3.8</v>
      </c>
      <c r="AC28" s="5">
        <v>3.49</v>
      </c>
      <c r="AD28" s="13"/>
      <c r="AE28" s="13"/>
      <c r="AF28" s="19"/>
      <c r="AG28" s="19"/>
      <c r="AH28" s="20"/>
    </row>
    <row r="29" spans="1:34" x14ac:dyDescent="0.4">
      <c r="A29" s="3"/>
      <c r="C29" s="2">
        <v>7</v>
      </c>
      <c r="D29" s="2"/>
      <c r="E29" s="5"/>
      <c r="F29" s="5"/>
      <c r="G29" s="5">
        <v>7</v>
      </c>
      <c r="H29" s="5">
        <v>1.42</v>
      </c>
      <c r="I29" s="5"/>
      <c r="J29" s="5"/>
      <c r="K29" s="5">
        <f>G29/H29</f>
        <v>4.9295774647887329</v>
      </c>
      <c r="L29" s="17"/>
      <c r="M29" s="6">
        <v>75</v>
      </c>
      <c r="N29" s="13"/>
      <c r="O29" s="13">
        <v>7</v>
      </c>
      <c r="P29" s="13"/>
      <c r="Q29" s="5"/>
      <c r="R29" s="5"/>
      <c r="S29" s="5">
        <v>7</v>
      </c>
      <c r="T29" s="5">
        <v>2.35</v>
      </c>
      <c r="U29" s="5"/>
      <c r="V29" s="5"/>
      <c r="W29" s="5">
        <f>S29/T29</f>
        <v>2.978723404255319</v>
      </c>
      <c r="X29" s="19"/>
      <c r="Y29" s="5">
        <f>K29</f>
        <v>4.9295774647887329</v>
      </c>
      <c r="Z29" s="5">
        <v>2.9</v>
      </c>
      <c r="AA29" s="5">
        <v>6.29</v>
      </c>
      <c r="AB29" s="5">
        <v>2.7</v>
      </c>
      <c r="AC29" s="5">
        <v>4.66</v>
      </c>
      <c r="AD29" s="13"/>
      <c r="AE29" s="13"/>
      <c r="AF29" s="19"/>
      <c r="AG29" s="19"/>
      <c r="AH29" s="20"/>
    </row>
    <row r="30" spans="1:34" x14ac:dyDescent="0.4">
      <c r="A30" s="3"/>
      <c r="C30" s="2">
        <v>12</v>
      </c>
      <c r="D30" s="2"/>
      <c r="E30" s="5"/>
      <c r="F30" s="5"/>
      <c r="G30" s="5"/>
      <c r="H30" s="5"/>
      <c r="I30" s="5"/>
      <c r="J30" s="5"/>
      <c r="K30" s="5"/>
      <c r="L30" s="17"/>
      <c r="M30" s="6">
        <v>75</v>
      </c>
      <c r="N30" s="13"/>
      <c r="O30" s="13">
        <v>12</v>
      </c>
      <c r="P30" s="13"/>
      <c r="Q30" s="5"/>
      <c r="R30" s="5"/>
      <c r="S30" s="5"/>
      <c r="T30" s="5"/>
      <c r="U30" s="5"/>
      <c r="V30" s="5"/>
      <c r="W30" s="5"/>
      <c r="X30" s="19"/>
      <c r="Y30" s="17"/>
      <c r="Z30" s="5">
        <v>3.4</v>
      </c>
      <c r="AA30" s="5">
        <v>7.92</v>
      </c>
      <c r="AB30" s="5">
        <v>3.3</v>
      </c>
      <c r="AC30" s="5">
        <v>6.37</v>
      </c>
      <c r="AD30" s="13"/>
      <c r="AE30" s="13"/>
      <c r="AF30" s="19"/>
      <c r="AG30" s="19"/>
      <c r="AH30" s="20"/>
    </row>
    <row r="31" spans="1:34" x14ac:dyDescent="0.4">
      <c r="A31" s="8"/>
      <c r="B31" s="8"/>
      <c r="C31" s="9"/>
      <c r="D31" s="9"/>
      <c r="E31" s="18"/>
      <c r="F31" s="18"/>
      <c r="G31" s="18"/>
      <c r="H31" s="18"/>
      <c r="I31" s="18"/>
      <c r="J31" s="18"/>
      <c r="K31" s="18"/>
      <c r="L31" s="18"/>
      <c r="M31" s="18"/>
      <c r="N31" s="14"/>
      <c r="O31" s="14"/>
      <c r="P31" s="14"/>
      <c r="Q31" s="18"/>
      <c r="R31" s="18"/>
      <c r="S31" s="18"/>
      <c r="T31" s="18"/>
      <c r="U31" s="18"/>
      <c r="V31" s="18"/>
      <c r="W31" s="18"/>
      <c r="X31" s="18"/>
      <c r="Y31" s="22"/>
      <c r="Z31" s="22"/>
      <c r="AA31" s="22"/>
      <c r="AB31" s="22"/>
      <c r="AC31" s="22"/>
      <c r="AD31" s="14"/>
      <c r="AE31" s="14"/>
      <c r="AF31" s="18"/>
      <c r="AG31" s="18"/>
      <c r="AH31" s="18"/>
    </row>
    <row r="32" spans="1:34" x14ac:dyDescent="0.4">
      <c r="A32" s="3" t="s">
        <v>56</v>
      </c>
      <c r="B32" s="1" t="s">
        <v>45</v>
      </c>
      <c r="C32" s="4">
        <v>-25</v>
      </c>
      <c r="D32" s="2"/>
      <c r="E32" s="5"/>
      <c r="F32" s="5"/>
      <c r="G32" s="5">
        <v>4.75</v>
      </c>
      <c r="H32" s="5">
        <v>2.5299999999999998</v>
      </c>
      <c r="I32" s="5"/>
      <c r="J32" s="5"/>
      <c r="K32" s="5">
        <f>G32/H32</f>
        <v>1.8774703557312253</v>
      </c>
      <c r="L32" s="17"/>
      <c r="M32" s="6">
        <v>55</v>
      </c>
      <c r="N32" s="13"/>
      <c r="O32" s="4">
        <v>-25</v>
      </c>
      <c r="P32" s="13"/>
      <c r="Q32" s="5"/>
      <c r="R32" s="5"/>
      <c r="S32" s="5">
        <v>3.95</v>
      </c>
      <c r="T32" s="5">
        <v>2.78</v>
      </c>
      <c r="U32" s="5"/>
      <c r="V32" s="5"/>
      <c r="W32" s="5">
        <f>S32/T32</f>
        <v>1.4208633093525183</v>
      </c>
      <c r="X32" s="4">
        <v>6</v>
      </c>
      <c r="Y32" s="17"/>
      <c r="Z32" s="5"/>
      <c r="AA32" s="5"/>
      <c r="AB32" s="5"/>
      <c r="AC32" s="5"/>
      <c r="AD32" s="13"/>
      <c r="AE32" s="13" t="s">
        <v>37</v>
      </c>
      <c r="AF32" s="7">
        <v>7</v>
      </c>
      <c r="AG32" s="7">
        <v>2.31</v>
      </c>
      <c r="AH32" s="7">
        <f>AF32/AG32</f>
        <v>3.0303030303030303</v>
      </c>
    </row>
    <row r="33" spans="1:34" x14ac:dyDescent="0.4">
      <c r="A33"/>
      <c r="C33" s="13">
        <v>-20</v>
      </c>
      <c r="D33" s="2"/>
      <c r="E33" s="5"/>
      <c r="F33" s="5"/>
      <c r="G33" s="5">
        <v>5.5</v>
      </c>
      <c r="H33" s="5">
        <v>2.56</v>
      </c>
      <c r="I33" s="5"/>
      <c r="J33" s="5"/>
      <c r="K33" s="5">
        <f>G33/H33</f>
        <v>2.1484375</v>
      </c>
      <c r="L33" s="17"/>
      <c r="M33" s="6">
        <v>55</v>
      </c>
      <c r="N33" s="13"/>
      <c r="O33" s="13">
        <v>-20</v>
      </c>
      <c r="P33" s="13"/>
      <c r="Q33" s="5"/>
      <c r="R33" s="5"/>
      <c r="S33" s="5">
        <v>4.9000000000000004</v>
      </c>
      <c r="T33" s="5">
        <v>2.97</v>
      </c>
      <c r="U33" s="5"/>
      <c r="V33" s="5"/>
      <c r="W33" s="5">
        <f>S33/T33</f>
        <v>1.6498316498316499</v>
      </c>
      <c r="X33" s="19"/>
      <c r="Y33" s="17"/>
      <c r="Z33" s="5"/>
      <c r="AA33" s="5"/>
      <c r="AB33" s="5"/>
      <c r="AC33" s="5"/>
      <c r="AD33" s="13"/>
      <c r="AE33" s="13"/>
      <c r="AF33" s="7"/>
      <c r="AG33" s="7"/>
      <c r="AH33" s="7"/>
    </row>
    <row r="34" spans="1:34" x14ac:dyDescent="0.4">
      <c r="A34" s="3"/>
      <c r="C34" s="2">
        <v>-15</v>
      </c>
      <c r="D34" s="2"/>
      <c r="E34" s="5"/>
      <c r="F34" s="5"/>
      <c r="G34" s="5">
        <v>6</v>
      </c>
      <c r="H34" s="5">
        <v>2.5</v>
      </c>
      <c r="I34" s="5"/>
      <c r="J34" s="5"/>
      <c r="K34" s="5">
        <f>G34/H34</f>
        <v>2.4</v>
      </c>
      <c r="L34" s="17"/>
      <c r="M34" s="6">
        <v>65</v>
      </c>
      <c r="N34" s="13"/>
      <c r="O34" s="13">
        <v>-15</v>
      </c>
      <c r="P34" s="13"/>
      <c r="Q34" s="5"/>
      <c r="R34" s="5"/>
      <c r="S34" s="5">
        <v>5.2</v>
      </c>
      <c r="T34" s="5">
        <v>2.89</v>
      </c>
      <c r="U34" s="5"/>
      <c r="V34" s="5"/>
      <c r="W34" s="5">
        <f>S34/T34</f>
        <v>1.7993079584775087</v>
      </c>
      <c r="X34" s="19"/>
      <c r="Y34" s="17"/>
      <c r="Z34" s="5"/>
      <c r="AA34" s="5"/>
      <c r="AB34" s="5"/>
      <c r="AC34" s="5"/>
      <c r="AD34" s="13"/>
      <c r="AE34" s="13" t="s">
        <v>38</v>
      </c>
      <c r="AF34" s="7">
        <v>8</v>
      </c>
      <c r="AG34" s="7">
        <v>2.2599999999999998</v>
      </c>
      <c r="AH34" s="7">
        <f t="shared" ref="AH34:AH35" si="3">AF34/AG34</f>
        <v>3.5398230088495577</v>
      </c>
    </row>
    <row r="35" spans="1:34" x14ac:dyDescent="0.4">
      <c r="A35" s="3"/>
      <c r="C35" s="2">
        <v>-10</v>
      </c>
      <c r="D35" s="2"/>
      <c r="E35" s="5"/>
      <c r="F35" s="5"/>
      <c r="G35" s="5"/>
      <c r="H35" s="5"/>
      <c r="I35" s="5"/>
      <c r="J35" s="5"/>
      <c r="K35" s="5"/>
      <c r="L35" s="17"/>
      <c r="M35" s="6">
        <v>65</v>
      </c>
      <c r="N35" s="13"/>
      <c r="O35" s="13">
        <v>-10</v>
      </c>
      <c r="P35" s="13"/>
      <c r="Q35" s="5"/>
      <c r="R35" s="5"/>
      <c r="S35" s="5"/>
      <c r="T35" s="5"/>
      <c r="U35" s="5"/>
      <c r="V35" s="5"/>
      <c r="W35" s="5"/>
      <c r="X35" s="19"/>
      <c r="Y35" s="17" t="s">
        <v>39</v>
      </c>
      <c r="Z35" s="5">
        <v>7</v>
      </c>
      <c r="AA35" s="5">
        <v>2.83</v>
      </c>
      <c r="AB35" s="5">
        <v>7</v>
      </c>
      <c r="AC35" s="5">
        <v>2.08</v>
      </c>
      <c r="AD35" s="13"/>
      <c r="AE35" s="13" t="s">
        <v>40</v>
      </c>
      <c r="AF35" s="7">
        <v>7</v>
      </c>
      <c r="AG35" s="7">
        <v>1.48</v>
      </c>
      <c r="AH35" s="7">
        <f t="shared" si="3"/>
        <v>4.7297297297297298</v>
      </c>
    </row>
    <row r="36" spans="1:34" x14ac:dyDescent="0.4">
      <c r="A36" s="3"/>
      <c r="C36" s="2">
        <v>-7</v>
      </c>
      <c r="D36" s="2"/>
      <c r="E36" s="5"/>
      <c r="F36" s="5"/>
      <c r="G36" s="5">
        <v>5.8</v>
      </c>
      <c r="H36" s="5">
        <v>1.93</v>
      </c>
      <c r="I36" s="5"/>
      <c r="J36" s="5"/>
      <c r="K36" s="5">
        <f>G36/H36</f>
        <v>3.0051813471502591</v>
      </c>
      <c r="L36" s="17"/>
      <c r="M36" s="6">
        <v>75</v>
      </c>
      <c r="N36" s="13"/>
      <c r="O36" s="13">
        <v>-7</v>
      </c>
      <c r="P36" s="13"/>
      <c r="Q36" s="5"/>
      <c r="R36" s="5"/>
      <c r="S36" s="5">
        <v>5.8</v>
      </c>
      <c r="T36" s="5">
        <v>2.74</v>
      </c>
      <c r="U36" s="5"/>
      <c r="V36" s="5"/>
      <c r="W36" s="5">
        <f>S36/T36</f>
        <v>2.1167883211678831</v>
      </c>
      <c r="X36" s="19"/>
      <c r="Y36" s="5">
        <f>AA36*(1.029-(0.05*Z36/G38))</f>
        <v>3.210168571428571</v>
      </c>
      <c r="Z36" s="5">
        <v>6.2</v>
      </c>
      <c r="AA36" s="5">
        <v>3.26</v>
      </c>
      <c r="AB36" s="5">
        <v>6.2</v>
      </c>
      <c r="AC36" s="5">
        <v>2.33</v>
      </c>
      <c r="AD36" s="13"/>
      <c r="AE36" s="13"/>
      <c r="AF36" s="19"/>
      <c r="AG36" s="19"/>
      <c r="AH36" s="20"/>
    </row>
    <row r="37" spans="1:34" x14ac:dyDescent="0.4">
      <c r="A37" s="3"/>
      <c r="C37" s="2">
        <v>2</v>
      </c>
      <c r="D37" s="2"/>
      <c r="E37" s="5"/>
      <c r="F37" s="5"/>
      <c r="G37" s="5">
        <v>6.85</v>
      </c>
      <c r="H37" s="5">
        <v>2</v>
      </c>
      <c r="I37" s="5"/>
      <c r="J37" s="5"/>
      <c r="K37" s="5">
        <f>G37/H37</f>
        <v>3.4249999999999998</v>
      </c>
      <c r="L37" s="17"/>
      <c r="M37" s="6">
        <v>75</v>
      </c>
      <c r="N37" s="13"/>
      <c r="O37" s="13">
        <v>2</v>
      </c>
      <c r="P37" s="13"/>
      <c r="Q37" s="5"/>
      <c r="R37" s="5"/>
      <c r="S37" s="5">
        <v>6.25</v>
      </c>
      <c r="T37" s="5">
        <v>2.67</v>
      </c>
      <c r="U37" s="5"/>
      <c r="V37" s="5"/>
      <c r="W37" s="5">
        <f>S37/T37</f>
        <v>2.3408239700374533</v>
      </c>
      <c r="X37" s="19"/>
      <c r="Y37" s="5">
        <f>AA37*(0.906-(0.044*Z37/G38))</f>
        <v>4.2606120000000001</v>
      </c>
      <c r="Z37" s="5">
        <v>3.8</v>
      </c>
      <c r="AA37" s="5">
        <v>4.83</v>
      </c>
      <c r="AB37" s="5">
        <v>3.8</v>
      </c>
      <c r="AC37" s="5">
        <v>3.49</v>
      </c>
      <c r="AD37" s="13"/>
      <c r="AE37" s="13"/>
      <c r="AF37" s="19"/>
      <c r="AG37" s="19"/>
      <c r="AH37" s="20"/>
    </row>
    <row r="38" spans="1:34" x14ac:dyDescent="0.4">
      <c r="A38" s="3"/>
      <c r="C38" s="2">
        <v>7</v>
      </c>
      <c r="D38" s="2"/>
      <c r="E38" s="5"/>
      <c r="F38" s="5"/>
      <c r="G38" s="5">
        <v>7</v>
      </c>
      <c r="H38" s="5">
        <v>1.42</v>
      </c>
      <c r="I38" s="5"/>
      <c r="J38" s="5"/>
      <c r="K38" s="5">
        <f>G38/H38</f>
        <v>4.9295774647887329</v>
      </c>
      <c r="L38" s="17"/>
      <c r="M38" s="6">
        <v>75</v>
      </c>
      <c r="N38" s="13"/>
      <c r="O38" s="13">
        <v>7</v>
      </c>
      <c r="P38" s="13"/>
      <c r="Q38" s="5"/>
      <c r="R38" s="5"/>
      <c r="S38" s="5">
        <v>7</v>
      </c>
      <c r="T38" s="5">
        <v>2.35</v>
      </c>
      <c r="U38" s="5"/>
      <c r="V38" s="5"/>
      <c r="W38" s="5">
        <f>S38/T38</f>
        <v>2.978723404255319</v>
      </c>
      <c r="X38" s="19"/>
      <c r="Y38" s="5">
        <f>K38</f>
        <v>4.9295774647887329</v>
      </c>
      <c r="Z38" s="5">
        <v>2.9</v>
      </c>
      <c r="AA38" s="5">
        <v>6.29</v>
      </c>
      <c r="AB38" s="5">
        <v>2.7</v>
      </c>
      <c r="AC38" s="5">
        <v>4.66</v>
      </c>
      <c r="AD38" s="13"/>
      <c r="AE38" s="13"/>
      <c r="AF38" s="19"/>
      <c r="AG38" s="19"/>
      <c r="AH38" s="20"/>
    </row>
    <row r="39" spans="1:34" x14ac:dyDescent="0.4">
      <c r="A39" s="3"/>
      <c r="C39" s="2">
        <v>12</v>
      </c>
      <c r="D39" s="2"/>
      <c r="E39" s="5"/>
      <c r="F39" s="5"/>
      <c r="G39" s="5"/>
      <c r="H39" s="5"/>
      <c r="I39" s="5"/>
      <c r="J39" s="5"/>
      <c r="K39" s="5"/>
      <c r="L39" s="17"/>
      <c r="M39" s="6">
        <v>75</v>
      </c>
      <c r="N39" s="13"/>
      <c r="O39" s="13">
        <v>12</v>
      </c>
      <c r="P39" s="13"/>
      <c r="Q39" s="5"/>
      <c r="R39" s="5"/>
      <c r="S39" s="5"/>
      <c r="T39" s="5"/>
      <c r="U39" s="5"/>
      <c r="V39" s="5"/>
      <c r="W39" s="5"/>
      <c r="X39" s="19"/>
      <c r="Y39" s="17"/>
      <c r="Z39" s="5">
        <v>3.4</v>
      </c>
      <c r="AA39" s="5">
        <v>7.92</v>
      </c>
      <c r="AB39" s="5">
        <v>3.3</v>
      </c>
      <c r="AC39" s="5">
        <v>6.37</v>
      </c>
      <c r="AD39" s="13"/>
      <c r="AE39" s="13"/>
      <c r="AF39" s="19"/>
      <c r="AG39" s="19"/>
      <c r="AH39" s="20"/>
    </row>
    <row r="40" spans="1:34" x14ac:dyDescent="0.4">
      <c r="A40" s="8"/>
      <c r="B40" s="8"/>
      <c r="C40" s="9"/>
      <c r="D40" s="9"/>
      <c r="E40" s="18"/>
      <c r="F40" s="18"/>
      <c r="G40" s="18"/>
      <c r="H40" s="18"/>
      <c r="I40" s="18"/>
      <c r="J40" s="18"/>
      <c r="K40" s="18"/>
      <c r="L40" s="18"/>
      <c r="M40" s="18"/>
      <c r="N40" s="14"/>
      <c r="O40" s="14"/>
      <c r="P40" s="14"/>
      <c r="Q40" s="18"/>
      <c r="R40" s="18"/>
      <c r="S40" s="18"/>
      <c r="T40" s="18"/>
      <c r="U40" s="18"/>
      <c r="V40" s="18"/>
      <c r="W40" s="18"/>
      <c r="X40" s="18"/>
      <c r="Y40" s="22"/>
      <c r="Z40" s="22"/>
      <c r="AA40" s="22"/>
      <c r="AB40" s="22"/>
      <c r="AC40" s="22"/>
      <c r="AD40" s="14"/>
      <c r="AE40" s="14"/>
      <c r="AF40" s="18"/>
      <c r="AG40" s="18"/>
      <c r="AH40" s="18"/>
    </row>
    <row r="41" spans="1:34" x14ac:dyDescent="0.4">
      <c r="A41" s="3" t="s">
        <v>57</v>
      </c>
      <c r="B41" s="1" t="s">
        <v>46</v>
      </c>
      <c r="C41" s="4">
        <v>-25</v>
      </c>
      <c r="D41" s="2"/>
      <c r="E41" s="5"/>
      <c r="F41" s="5"/>
      <c r="G41" s="5">
        <v>6.05</v>
      </c>
      <c r="H41" s="5">
        <v>3.43</v>
      </c>
      <c r="I41" s="5"/>
      <c r="J41" s="5"/>
      <c r="K41" s="5">
        <f>G41/H41</f>
        <v>1.7638483965014575</v>
      </c>
      <c r="L41" s="17"/>
      <c r="M41" s="6">
        <v>55</v>
      </c>
      <c r="N41" s="13"/>
      <c r="O41" s="4">
        <v>-25</v>
      </c>
      <c r="P41" s="13"/>
      <c r="Q41" s="5"/>
      <c r="R41" s="5"/>
      <c r="S41" s="5">
        <v>4.6500000000000004</v>
      </c>
      <c r="T41" s="5">
        <v>3.15</v>
      </c>
      <c r="U41" s="5"/>
      <c r="V41" s="5"/>
      <c r="W41" s="5">
        <f>S41/T41</f>
        <v>1.4761904761904763</v>
      </c>
      <c r="X41" s="4">
        <v>3</v>
      </c>
      <c r="Y41" s="17"/>
      <c r="Z41" s="5"/>
      <c r="AA41" s="5"/>
      <c r="AB41" s="5"/>
      <c r="AC41" s="5"/>
      <c r="AD41" s="13"/>
      <c r="AE41" s="13" t="s">
        <v>37</v>
      </c>
      <c r="AF41" s="7">
        <v>8.1999999999999993</v>
      </c>
      <c r="AG41" s="7">
        <v>2.91</v>
      </c>
      <c r="AH41" s="7">
        <f>AF41/AG41</f>
        <v>2.8178694158075599</v>
      </c>
    </row>
    <row r="42" spans="1:34" x14ac:dyDescent="0.4">
      <c r="A42"/>
      <c r="C42" s="13">
        <v>-20</v>
      </c>
      <c r="D42" s="2"/>
      <c r="E42" s="5"/>
      <c r="F42" s="5"/>
      <c r="G42" s="5">
        <v>7</v>
      </c>
      <c r="H42" s="5">
        <v>3.56</v>
      </c>
      <c r="I42" s="5"/>
      <c r="J42" s="5"/>
      <c r="K42" s="5">
        <f>G42/H42</f>
        <v>1.9662921348314606</v>
      </c>
      <c r="L42" s="17"/>
      <c r="M42" s="6">
        <v>55</v>
      </c>
      <c r="N42" s="13"/>
      <c r="O42" s="13">
        <v>-20</v>
      </c>
      <c r="P42" s="13"/>
      <c r="Q42" s="5"/>
      <c r="R42" s="5"/>
      <c r="S42" s="5">
        <v>5.6</v>
      </c>
      <c r="T42" s="5">
        <v>3.43</v>
      </c>
      <c r="U42" s="5"/>
      <c r="V42" s="5"/>
      <c r="W42" s="5">
        <f>S42/T42</f>
        <v>1.6326530612244896</v>
      </c>
      <c r="X42" s="19"/>
      <c r="Y42" s="17"/>
      <c r="Z42" s="5"/>
      <c r="AA42" s="5"/>
      <c r="AB42" s="5"/>
      <c r="AC42" s="5"/>
      <c r="AD42" s="13"/>
      <c r="AE42" s="13"/>
      <c r="AF42" s="7"/>
      <c r="AG42" s="7"/>
      <c r="AH42" s="7"/>
    </row>
    <row r="43" spans="1:34" x14ac:dyDescent="0.4">
      <c r="A43" s="3"/>
      <c r="C43" s="2">
        <v>-15</v>
      </c>
      <c r="D43" s="2"/>
      <c r="E43" s="5"/>
      <c r="F43" s="5"/>
      <c r="G43" s="5">
        <v>7.4</v>
      </c>
      <c r="H43" s="5">
        <v>3.2</v>
      </c>
      <c r="I43" s="5"/>
      <c r="J43" s="5"/>
      <c r="K43" s="5">
        <v>2.31</v>
      </c>
      <c r="L43" s="17"/>
      <c r="M43" s="6">
        <v>65</v>
      </c>
      <c r="N43" s="13"/>
      <c r="O43" s="13">
        <v>-15</v>
      </c>
      <c r="P43" s="13"/>
      <c r="Q43" s="5"/>
      <c r="R43" s="5"/>
      <c r="S43" s="5">
        <v>6.3</v>
      </c>
      <c r="T43" s="5">
        <v>3.55</v>
      </c>
      <c r="U43" s="5"/>
      <c r="V43" s="5"/>
      <c r="W43" s="5">
        <f>S43/T43</f>
        <v>1.7746478873239437</v>
      </c>
      <c r="X43" s="19"/>
      <c r="Y43" s="17"/>
      <c r="Z43" s="5"/>
      <c r="AA43" s="5"/>
      <c r="AB43" s="5"/>
      <c r="AC43" s="5"/>
      <c r="AD43" s="13"/>
      <c r="AE43" s="13" t="s">
        <v>38</v>
      </c>
      <c r="AF43" s="7">
        <v>10</v>
      </c>
      <c r="AG43" s="7">
        <v>3.1</v>
      </c>
      <c r="AH43" s="7">
        <f t="shared" ref="AH43:AH44" si="4">AF43/AG43</f>
        <v>3.225806451612903</v>
      </c>
    </row>
    <row r="44" spans="1:34" x14ac:dyDescent="0.4">
      <c r="A44" s="3"/>
      <c r="C44" s="2">
        <v>-10</v>
      </c>
      <c r="D44" s="2"/>
      <c r="E44" s="5"/>
      <c r="F44" s="5"/>
      <c r="G44" s="5"/>
      <c r="H44" s="5"/>
      <c r="I44" s="5"/>
      <c r="J44" s="5"/>
      <c r="K44" s="5"/>
      <c r="L44" s="17"/>
      <c r="M44" s="6">
        <v>65</v>
      </c>
      <c r="N44" s="13"/>
      <c r="O44" s="13">
        <v>-10</v>
      </c>
      <c r="P44" s="13"/>
      <c r="Q44" s="5"/>
      <c r="R44" s="5"/>
      <c r="S44" s="5"/>
      <c r="T44" s="5"/>
      <c r="U44" s="5"/>
      <c r="V44" s="5"/>
      <c r="W44" s="5"/>
      <c r="X44" s="19"/>
      <c r="Y44" s="17" t="s">
        <v>39</v>
      </c>
      <c r="Z44" s="5">
        <v>8</v>
      </c>
      <c r="AA44" s="5">
        <v>2.57</v>
      </c>
      <c r="AB44" s="5">
        <v>7.5</v>
      </c>
      <c r="AC44" s="5">
        <v>1.98</v>
      </c>
      <c r="AD44" s="13"/>
      <c r="AE44" s="13" t="s">
        <v>40</v>
      </c>
      <c r="AF44" s="7">
        <v>9</v>
      </c>
      <c r="AG44" s="7">
        <v>2.15</v>
      </c>
      <c r="AH44" s="7">
        <f t="shared" si="4"/>
        <v>4.1860465116279073</v>
      </c>
    </row>
    <row r="45" spans="1:34" x14ac:dyDescent="0.4">
      <c r="A45" s="3"/>
      <c r="C45" s="2">
        <v>-7</v>
      </c>
      <c r="D45" s="2"/>
      <c r="E45" s="5"/>
      <c r="F45" s="5"/>
      <c r="G45" s="5">
        <v>7</v>
      </c>
      <c r="H45" s="5">
        <v>2.5</v>
      </c>
      <c r="I45" s="5"/>
      <c r="J45" s="5"/>
      <c r="K45" s="5">
        <v>2.84</v>
      </c>
      <c r="L45" s="17"/>
      <c r="M45" s="6">
        <v>75</v>
      </c>
      <c r="N45" s="13"/>
      <c r="O45" s="13">
        <v>-7</v>
      </c>
      <c r="P45" s="13"/>
      <c r="Q45" s="5"/>
      <c r="R45" s="5"/>
      <c r="S45" s="5">
        <v>7</v>
      </c>
      <c r="T45" s="5">
        <v>3.29</v>
      </c>
      <c r="U45" s="5"/>
      <c r="V45" s="5"/>
      <c r="W45" s="5">
        <f>S45/T45</f>
        <v>2.1276595744680851</v>
      </c>
      <c r="X45" s="19"/>
      <c r="Y45" s="5">
        <f>AA45*(1.029-(0.05*Z45/G47))</f>
        <v>2.8004422222222223</v>
      </c>
      <c r="Z45" s="5">
        <v>7.1</v>
      </c>
      <c r="AA45" s="5">
        <v>2.83</v>
      </c>
      <c r="AB45" s="5">
        <v>7.1</v>
      </c>
      <c r="AC45" s="5">
        <v>2.2799999999999998</v>
      </c>
      <c r="AD45" s="13"/>
      <c r="AE45" s="13"/>
      <c r="AF45" s="19"/>
      <c r="AG45" s="19"/>
      <c r="AH45" s="21"/>
    </row>
    <row r="46" spans="1:34" x14ac:dyDescent="0.4">
      <c r="A46" s="3"/>
      <c r="C46" s="2">
        <v>2</v>
      </c>
      <c r="D46" s="2"/>
      <c r="E46" s="5"/>
      <c r="F46" s="5"/>
      <c r="G46" s="5">
        <v>7</v>
      </c>
      <c r="H46" s="5">
        <v>2.0499999999999998</v>
      </c>
      <c r="I46" s="5"/>
      <c r="J46" s="5"/>
      <c r="K46" s="5">
        <v>3.4</v>
      </c>
      <c r="L46" s="17"/>
      <c r="M46" s="6">
        <v>75</v>
      </c>
      <c r="N46" s="13"/>
      <c r="O46" s="13">
        <v>2</v>
      </c>
      <c r="P46" s="13"/>
      <c r="Q46" s="5"/>
      <c r="R46" s="5"/>
      <c r="S46" s="5">
        <v>7</v>
      </c>
      <c r="T46" s="5">
        <v>2.9</v>
      </c>
      <c r="U46" s="5"/>
      <c r="V46" s="5"/>
      <c r="W46" s="5">
        <f>S46/T46</f>
        <v>2.4137931034482758</v>
      </c>
      <c r="X46" s="19"/>
      <c r="Y46" s="5">
        <f>AA46*(0.906-(0.044*Z46/G47))</f>
        <v>4.3275413333333335</v>
      </c>
      <c r="Z46" s="5">
        <v>4.3</v>
      </c>
      <c r="AA46" s="5">
        <v>4.8899999999999997</v>
      </c>
      <c r="AB46" s="5">
        <v>4.3</v>
      </c>
      <c r="AC46" s="5">
        <v>3.6</v>
      </c>
      <c r="AD46" s="13"/>
      <c r="AE46" s="13"/>
      <c r="AF46" s="19"/>
      <c r="AG46" s="19"/>
      <c r="AH46" s="21"/>
    </row>
    <row r="47" spans="1:34" x14ac:dyDescent="0.4">
      <c r="A47" s="3"/>
      <c r="C47" s="2">
        <v>7</v>
      </c>
      <c r="D47" s="2"/>
      <c r="E47" s="5"/>
      <c r="F47" s="5"/>
      <c r="G47" s="5">
        <v>9</v>
      </c>
      <c r="H47" s="5">
        <v>1.98</v>
      </c>
      <c r="I47" s="5"/>
      <c r="J47" s="5"/>
      <c r="K47" s="5">
        <v>4.55</v>
      </c>
      <c r="L47" s="17"/>
      <c r="M47" s="6">
        <v>75</v>
      </c>
      <c r="N47" s="13"/>
      <c r="O47" s="13">
        <v>7</v>
      </c>
      <c r="P47" s="13"/>
      <c r="Q47" s="5"/>
      <c r="R47" s="5"/>
      <c r="S47" s="5">
        <v>8.9</v>
      </c>
      <c r="T47" s="5">
        <v>2.94</v>
      </c>
      <c r="U47" s="5"/>
      <c r="V47" s="5"/>
      <c r="W47" s="5">
        <f>S47/T47</f>
        <v>3.0272108843537415</v>
      </c>
      <c r="X47" s="19"/>
      <c r="Y47" s="5">
        <f>K47</f>
        <v>4.55</v>
      </c>
      <c r="Z47" s="5">
        <v>2.8</v>
      </c>
      <c r="AA47" s="5">
        <v>6.21</v>
      </c>
      <c r="AB47" s="5">
        <v>2.8</v>
      </c>
      <c r="AC47" s="5">
        <v>4.72</v>
      </c>
      <c r="AD47" s="13"/>
      <c r="AE47" s="13"/>
      <c r="AF47" s="19"/>
      <c r="AG47" s="19"/>
      <c r="AH47" s="21"/>
    </row>
    <row r="48" spans="1:34" x14ac:dyDescent="0.4">
      <c r="A48" s="3"/>
      <c r="C48" s="2">
        <v>12</v>
      </c>
      <c r="D48" s="2"/>
      <c r="E48" s="5"/>
      <c r="F48" s="5"/>
      <c r="G48" s="5"/>
      <c r="H48" s="5"/>
      <c r="I48" s="5"/>
      <c r="J48" s="5"/>
      <c r="K48" s="5"/>
      <c r="L48" s="17"/>
      <c r="M48" s="6">
        <v>75</v>
      </c>
      <c r="N48" s="13"/>
      <c r="O48" s="13">
        <v>12</v>
      </c>
      <c r="P48" s="13"/>
      <c r="Q48" s="5"/>
      <c r="R48" s="5"/>
      <c r="S48" s="5"/>
      <c r="T48" s="5"/>
      <c r="U48" s="5"/>
      <c r="V48" s="5"/>
      <c r="W48" s="5"/>
      <c r="X48" s="19"/>
      <c r="Y48" s="17"/>
      <c r="Z48" s="5">
        <v>3.3</v>
      </c>
      <c r="AA48" s="5">
        <v>7.45</v>
      </c>
      <c r="AB48" s="5">
        <v>3.2</v>
      </c>
      <c r="AC48" s="5">
        <v>6.12</v>
      </c>
      <c r="AD48" s="13"/>
      <c r="AE48" s="13"/>
      <c r="AF48" s="19"/>
      <c r="AG48" s="19"/>
      <c r="AH48" s="21"/>
    </row>
    <row r="49" spans="1:34" x14ac:dyDescent="0.4">
      <c r="A49" s="8"/>
      <c r="B49" s="8"/>
      <c r="C49" s="9"/>
      <c r="D49" s="9"/>
      <c r="E49" s="18"/>
      <c r="F49" s="18"/>
      <c r="G49" s="18"/>
      <c r="H49" s="18"/>
      <c r="I49" s="18"/>
      <c r="J49" s="18"/>
      <c r="K49" s="18"/>
      <c r="L49" s="18"/>
      <c r="M49" s="18"/>
      <c r="N49" s="14"/>
      <c r="O49" s="14"/>
      <c r="P49" s="14"/>
      <c r="Q49" s="18"/>
      <c r="R49" s="18"/>
      <c r="S49" s="18"/>
      <c r="T49" s="18"/>
      <c r="U49" s="18"/>
      <c r="V49" s="18"/>
      <c r="W49" s="18"/>
      <c r="X49" s="18"/>
      <c r="Y49" s="22"/>
      <c r="Z49" s="22"/>
      <c r="AA49" s="22"/>
      <c r="AB49" s="22"/>
      <c r="AC49" s="22"/>
      <c r="AD49" s="14"/>
      <c r="AE49" s="14"/>
      <c r="AF49" s="18"/>
      <c r="AG49" s="18"/>
      <c r="AH49" s="22"/>
    </row>
    <row r="50" spans="1:34" x14ac:dyDescent="0.4">
      <c r="A50" s="3" t="s">
        <v>56</v>
      </c>
      <c r="B50" s="1" t="s">
        <v>46</v>
      </c>
      <c r="C50" s="4">
        <v>-25</v>
      </c>
      <c r="D50" s="2"/>
      <c r="E50" s="5"/>
      <c r="F50" s="5"/>
      <c r="G50" s="5">
        <v>6.05</v>
      </c>
      <c r="H50" s="5">
        <v>3.43</v>
      </c>
      <c r="I50" s="5"/>
      <c r="J50" s="5"/>
      <c r="K50" s="5">
        <f>G50/H50</f>
        <v>1.7638483965014575</v>
      </c>
      <c r="L50" s="17"/>
      <c r="M50" s="6">
        <v>55</v>
      </c>
      <c r="N50" s="13"/>
      <c r="O50" s="4">
        <v>-25</v>
      </c>
      <c r="P50" s="13"/>
      <c r="Q50" s="5"/>
      <c r="R50" s="5"/>
      <c r="S50" s="5">
        <v>4.6500000000000004</v>
      </c>
      <c r="T50" s="5">
        <v>3.15</v>
      </c>
      <c r="U50" s="5"/>
      <c r="V50" s="5"/>
      <c r="W50" s="5">
        <f>S50/T50</f>
        <v>1.4761904761904763</v>
      </c>
      <c r="X50" s="4">
        <v>6</v>
      </c>
      <c r="Y50" s="17"/>
      <c r="Z50" s="5"/>
      <c r="AA50" s="5"/>
      <c r="AB50" s="5"/>
      <c r="AC50" s="5"/>
      <c r="AD50" s="13"/>
      <c r="AE50" s="13" t="s">
        <v>37</v>
      </c>
      <c r="AF50" s="7">
        <v>8.1999999999999993</v>
      </c>
      <c r="AG50" s="7">
        <v>2.91</v>
      </c>
      <c r="AH50" s="7">
        <f>AF50/AG50</f>
        <v>2.8178694158075599</v>
      </c>
    </row>
    <row r="51" spans="1:34" x14ac:dyDescent="0.4">
      <c r="A51"/>
      <c r="C51" s="13">
        <v>-20</v>
      </c>
      <c r="D51" s="2"/>
      <c r="E51" s="5"/>
      <c r="F51" s="5"/>
      <c r="G51" s="5">
        <v>7</v>
      </c>
      <c r="H51" s="5">
        <v>3.56</v>
      </c>
      <c r="I51" s="5"/>
      <c r="J51" s="5"/>
      <c r="K51" s="5">
        <f>G51/H51</f>
        <v>1.9662921348314606</v>
      </c>
      <c r="L51" s="17"/>
      <c r="M51" s="6">
        <v>55</v>
      </c>
      <c r="N51" s="13"/>
      <c r="O51" s="13">
        <v>-20</v>
      </c>
      <c r="P51" s="13"/>
      <c r="Q51" s="5"/>
      <c r="R51" s="5"/>
      <c r="S51" s="5">
        <v>5.6</v>
      </c>
      <c r="T51" s="5">
        <v>3.43</v>
      </c>
      <c r="U51" s="5"/>
      <c r="V51" s="5"/>
      <c r="W51" s="5">
        <f>S51/T51</f>
        <v>1.6326530612244896</v>
      </c>
      <c r="X51" s="19"/>
      <c r="Y51" s="17"/>
      <c r="Z51" s="5"/>
      <c r="AA51" s="5"/>
      <c r="AB51" s="5"/>
      <c r="AC51" s="5"/>
      <c r="AD51" s="13"/>
      <c r="AE51" s="13"/>
      <c r="AF51" s="7"/>
      <c r="AG51" s="7"/>
      <c r="AH51" s="7"/>
    </row>
    <row r="52" spans="1:34" x14ac:dyDescent="0.4">
      <c r="A52" s="3"/>
      <c r="C52" s="2">
        <v>-15</v>
      </c>
      <c r="D52" s="2"/>
      <c r="E52" s="5"/>
      <c r="F52" s="5"/>
      <c r="G52" s="5">
        <v>7.4</v>
      </c>
      <c r="H52" s="5">
        <v>3.2</v>
      </c>
      <c r="I52" s="5"/>
      <c r="J52" s="5"/>
      <c r="K52" s="5">
        <v>2.31</v>
      </c>
      <c r="L52" s="17"/>
      <c r="M52" s="6">
        <v>65</v>
      </c>
      <c r="N52" s="13"/>
      <c r="O52" s="13">
        <v>-15</v>
      </c>
      <c r="P52" s="13"/>
      <c r="Q52" s="5"/>
      <c r="R52" s="5"/>
      <c r="S52" s="5">
        <v>6.3</v>
      </c>
      <c r="T52" s="5">
        <v>3.55</v>
      </c>
      <c r="U52" s="5"/>
      <c r="V52" s="5"/>
      <c r="W52" s="5">
        <f>S52/T52</f>
        <v>1.7746478873239437</v>
      </c>
      <c r="X52" s="19"/>
      <c r="Y52" s="17"/>
      <c r="Z52" s="5"/>
      <c r="AA52" s="5"/>
      <c r="AB52" s="5"/>
      <c r="AC52" s="5"/>
      <c r="AD52" s="13"/>
      <c r="AE52" s="13" t="s">
        <v>38</v>
      </c>
      <c r="AF52" s="7">
        <v>10</v>
      </c>
      <c r="AG52" s="7">
        <v>3.1</v>
      </c>
      <c r="AH52" s="7">
        <f t="shared" ref="AH52:AH53" si="5">AF52/AG52</f>
        <v>3.225806451612903</v>
      </c>
    </row>
    <row r="53" spans="1:34" x14ac:dyDescent="0.4">
      <c r="A53" s="3"/>
      <c r="C53" s="2">
        <v>-10</v>
      </c>
      <c r="D53" s="2"/>
      <c r="E53" s="5"/>
      <c r="F53" s="5"/>
      <c r="G53" s="5"/>
      <c r="H53" s="5"/>
      <c r="I53" s="5"/>
      <c r="J53" s="5"/>
      <c r="K53" s="5"/>
      <c r="L53" s="17"/>
      <c r="M53" s="6">
        <v>65</v>
      </c>
      <c r="N53" s="13"/>
      <c r="O53" s="13">
        <v>-10</v>
      </c>
      <c r="P53" s="13"/>
      <c r="Q53" s="5"/>
      <c r="R53" s="5"/>
      <c r="S53" s="5"/>
      <c r="T53" s="5"/>
      <c r="U53" s="5"/>
      <c r="V53" s="5"/>
      <c r="W53" s="5"/>
      <c r="X53" s="19"/>
      <c r="Y53" s="17" t="s">
        <v>39</v>
      </c>
      <c r="Z53" s="5">
        <v>8</v>
      </c>
      <c r="AA53" s="5">
        <v>2.57</v>
      </c>
      <c r="AB53" s="5">
        <v>7.5</v>
      </c>
      <c r="AC53" s="5">
        <v>1.98</v>
      </c>
      <c r="AD53" s="13"/>
      <c r="AE53" s="13" t="s">
        <v>40</v>
      </c>
      <c r="AF53" s="7">
        <v>9</v>
      </c>
      <c r="AG53" s="7">
        <v>2.15</v>
      </c>
      <c r="AH53" s="7">
        <f t="shared" si="5"/>
        <v>4.1860465116279073</v>
      </c>
    </row>
    <row r="54" spans="1:34" x14ac:dyDescent="0.4">
      <c r="A54" s="3"/>
      <c r="C54" s="2">
        <v>-7</v>
      </c>
      <c r="D54" s="2"/>
      <c r="E54" s="5"/>
      <c r="F54" s="5"/>
      <c r="G54" s="5">
        <v>7</v>
      </c>
      <c r="H54" s="5">
        <v>2.5</v>
      </c>
      <c r="I54" s="5"/>
      <c r="J54" s="5"/>
      <c r="K54" s="5">
        <v>2.84</v>
      </c>
      <c r="L54" s="17"/>
      <c r="M54" s="6">
        <v>75</v>
      </c>
      <c r="N54" s="13"/>
      <c r="O54" s="13">
        <v>-7</v>
      </c>
      <c r="P54" s="13"/>
      <c r="Q54" s="5"/>
      <c r="R54" s="5"/>
      <c r="S54" s="5">
        <v>7</v>
      </c>
      <c r="T54" s="5">
        <v>3.29</v>
      </c>
      <c r="U54" s="5"/>
      <c r="V54" s="5"/>
      <c r="W54" s="5">
        <f>S54/T54</f>
        <v>2.1276595744680851</v>
      </c>
      <c r="X54" s="19"/>
      <c r="Y54" s="5">
        <f>AA54*(1.029-(0.05*Z54/G56))</f>
        <v>2.8004422222222223</v>
      </c>
      <c r="Z54" s="5">
        <v>7.1</v>
      </c>
      <c r="AA54" s="5">
        <v>2.83</v>
      </c>
      <c r="AB54" s="5">
        <v>7.1</v>
      </c>
      <c r="AC54" s="5">
        <v>2.2799999999999998</v>
      </c>
      <c r="AD54" s="13"/>
      <c r="AE54" s="13"/>
      <c r="AF54" s="13"/>
      <c r="AG54" s="13"/>
      <c r="AH54" s="15"/>
    </row>
    <row r="55" spans="1:34" x14ac:dyDescent="0.4">
      <c r="A55" s="3"/>
      <c r="C55" s="2">
        <v>2</v>
      </c>
      <c r="D55" s="2"/>
      <c r="E55" s="5"/>
      <c r="F55" s="5"/>
      <c r="G55" s="5">
        <v>7</v>
      </c>
      <c r="H55" s="5">
        <v>2.0499999999999998</v>
      </c>
      <c r="I55" s="5"/>
      <c r="J55" s="5"/>
      <c r="K55" s="5">
        <v>3.4</v>
      </c>
      <c r="L55" s="17"/>
      <c r="M55" s="6">
        <v>75</v>
      </c>
      <c r="N55" s="13"/>
      <c r="O55" s="13">
        <v>2</v>
      </c>
      <c r="P55" s="13"/>
      <c r="Q55" s="5"/>
      <c r="R55" s="5"/>
      <c r="S55" s="5">
        <v>7</v>
      </c>
      <c r="T55" s="5">
        <v>2.9</v>
      </c>
      <c r="U55" s="5"/>
      <c r="V55" s="5"/>
      <c r="W55" s="5">
        <f>S55/T55</f>
        <v>2.4137931034482758</v>
      </c>
      <c r="X55" s="19"/>
      <c r="Y55" s="5">
        <f>AA55*(0.906-(0.044*Z55/G56))</f>
        <v>4.3275413333333335</v>
      </c>
      <c r="Z55" s="5">
        <v>4.3</v>
      </c>
      <c r="AA55" s="5">
        <v>4.8899999999999997</v>
      </c>
      <c r="AB55" s="5">
        <v>4.3</v>
      </c>
      <c r="AC55" s="5">
        <v>3.6</v>
      </c>
      <c r="AD55" s="13"/>
      <c r="AE55" s="13"/>
      <c r="AF55" s="13"/>
      <c r="AG55" s="13"/>
      <c r="AH55" s="15"/>
    </row>
    <row r="56" spans="1:34" x14ac:dyDescent="0.4">
      <c r="A56" s="3"/>
      <c r="C56" s="2">
        <v>7</v>
      </c>
      <c r="D56" s="2"/>
      <c r="E56" s="5"/>
      <c r="F56" s="5"/>
      <c r="G56" s="5">
        <v>9</v>
      </c>
      <c r="H56" s="5">
        <v>1.98</v>
      </c>
      <c r="I56" s="5"/>
      <c r="J56" s="5"/>
      <c r="K56" s="5">
        <v>4.55</v>
      </c>
      <c r="L56" s="17"/>
      <c r="M56" s="6">
        <v>75</v>
      </c>
      <c r="N56" s="13"/>
      <c r="O56" s="13">
        <v>7</v>
      </c>
      <c r="P56" s="13"/>
      <c r="Q56" s="5"/>
      <c r="R56" s="5"/>
      <c r="S56" s="5">
        <v>8.9</v>
      </c>
      <c r="T56" s="5">
        <v>2.94</v>
      </c>
      <c r="U56" s="5"/>
      <c r="V56" s="5"/>
      <c r="W56" s="5">
        <f>S56/T56</f>
        <v>3.0272108843537415</v>
      </c>
      <c r="X56" s="19"/>
      <c r="Y56" s="5">
        <f>K56</f>
        <v>4.55</v>
      </c>
      <c r="Z56" s="5">
        <v>2.8</v>
      </c>
      <c r="AA56" s="5">
        <v>6.21</v>
      </c>
      <c r="AB56" s="5">
        <v>2.8</v>
      </c>
      <c r="AC56" s="5">
        <v>4.72</v>
      </c>
      <c r="AD56" s="13"/>
      <c r="AE56" s="13"/>
      <c r="AF56" s="13"/>
      <c r="AG56" s="13"/>
      <c r="AH56" s="15"/>
    </row>
    <row r="57" spans="1:34" x14ac:dyDescent="0.4">
      <c r="A57" s="3"/>
      <c r="C57" s="2">
        <v>12</v>
      </c>
      <c r="D57" s="2"/>
      <c r="E57" s="5"/>
      <c r="F57" s="5"/>
      <c r="G57" s="5"/>
      <c r="H57" s="5"/>
      <c r="I57" s="5"/>
      <c r="J57" s="5"/>
      <c r="K57" s="5"/>
      <c r="L57" s="17"/>
      <c r="M57" s="6">
        <v>75</v>
      </c>
      <c r="N57" s="13"/>
      <c r="O57" s="13">
        <v>12</v>
      </c>
      <c r="P57" s="13"/>
      <c r="Q57" s="5"/>
      <c r="R57" s="5"/>
      <c r="S57" s="5"/>
      <c r="T57" s="5"/>
      <c r="U57" s="5"/>
      <c r="V57" s="5"/>
      <c r="W57" s="5"/>
      <c r="X57" s="19"/>
      <c r="Y57" s="17"/>
      <c r="Z57" s="5">
        <v>3.3</v>
      </c>
      <c r="AA57" s="5">
        <v>7.45</v>
      </c>
      <c r="AB57" s="5">
        <v>3.2</v>
      </c>
      <c r="AC57" s="5">
        <v>6.12</v>
      </c>
      <c r="AD57" s="13"/>
      <c r="AE57" s="13"/>
      <c r="AF57" s="13"/>
      <c r="AG57" s="13"/>
      <c r="AH57" s="15"/>
    </row>
    <row r="61" spans="1:34" x14ac:dyDescent="0.4">
      <c r="A61" s="2"/>
    </row>
    <row r="62" spans="1:34" x14ac:dyDescent="0.4">
      <c r="A62" s="2"/>
      <c r="F62" s="10"/>
    </row>
    <row r="63" spans="1:34" x14ac:dyDescent="0.4">
      <c r="A63" s="2"/>
      <c r="F63" s="11"/>
    </row>
    <row r="64" spans="1:34" x14ac:dyDescent="0.4">
      <c r="A64" s="2"/>
    </row>
    <row r="66" spans="1:34" s="1" customFormat="1" x14ac:dyDescent="0.4">
      <c r="A66" s="2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1" customFormat="1" x14ac:dyDescent="0.4">
      <c r="A67" s="2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1" customFormat="1" x14ac:dyDescent="0.4">
      <c r="A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1" customFormat="1" x14ac:dyDescent="0.4">
      <c r="A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1" customFormat="1" x14ac:dyDescent="0.4">
      <c r="A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D18B-7E2C-4C25-8772-F7B369687820}">
  <dimension ref="A1:AK87"/>
  <sheetViews>
    <sheetView zoomScale="70" zoomScaleNormal="70" workbookViewId="0">
      <pane xSplit="3" ySplit="3" topLeftCell="D43" activePane="bottomRight" state="frozen"/>
      <selection activeCell="AF12" sqref="AF12"/>
      <selection pane="topRight" activeCell="AF12" sqref="AF12"/>
      <selection pane="bottomLeft" activeCell="AF12" sqref="AF12"/>
      <selection pane="bottomRight" activeCell="A76" sqref="A76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s="1" customFormat="1" x14ac:dyDescent="0.4">
      <c r="A4" s="3" t="s">
        <v>59</v>
      </c>
      <c r="B4" s="1" t="s">
        <v>11</v>
      </c>
      <c r="C4" s="4">
        <v>-25</v>
      </c>
      <c r="D4" s="2"/>
      <c r="E4" s="5"/>
      <c r="F4" s="5"/>
      <c r="G4" s="5"/>
      <c r="H4" s="5"/>
      <c r="I4" s="16"/>
      <c r="J4" s="5"/>
      <c r="K4" s="5"/>
      <c r="L4" s="17"/>
      <c r="M4" s="6">
        <v>55</v>
      </c>
      <c r="N4" s="13"/>
      <c r="O4" s="4">
        <v>-25</v>
      </c>
      <c r="P4" s="13"/>
      <c r="Q4" s="5"/>
      <c r="R4" s="5"/>
      <c r="S4" s="5">
        <v>2.12</v>
      </c>
      <c r="T4" s="5">
        <v>1.8</v>
      </c>
      <c r="U4" s="5"/>
      <c r="V4" s="5"/>
      <c r="W4" s="5">
        <f>S4/T4</f>
        <v>1.1777777777777778</v>
      </c>
      <c r="X4" s="4">
        <v>3</v>
      </c>
      <c r="Y4" s="17"/>
      <c r="Z4" s="5"/>
      <c r="AA4" s="5"/>
      <c r="AB4" s="5"/>
      <c r="AC4" s="5"/>
      <c r="AD4" s="13"/>
      <c r="AE4" s="13" t="s">
        <v>37</v>
      </c>
      <c r="AF4" s="7">
        <v>3.2</v>
      </c>
      <c r="AG4" s="7">
        <v>0.91</v>
      </c>
      <c r="AH4" s="7">
        <f>AF4/AG4</f>
        <v>3.5164835164835164</v>
      </c>
    </row>
    <row r="5" spans="1:37" x14ac:dyDescent="0.4">
      <c r="A5" s="3"/>
      <c r="C5" s="13">
        <v>-20</v>
      </c>
      <c r="D5" s="2"/>
      <c r="E5" s="5"/>
      <c r="F5" s="5"/>
      <c r="G5" s="5">
        <v>2.52</v>
      </c>
      <c r="H5" s="5">
        <v>1.31</v>
      </c>
      <c r="I5" s="16"/>
      <c r="J5" s="5"/>
      <c r="K5" s="5">
        <f>G5/H5</f>
        <v>1.9236641221374045</v>
      </c>
      <c r="L5" s="17"/>
      <c r="M5" s="6">
        <v>55</v>
      </c>
      <c r="N5" s="13"/>
      <c r="O5" s="13">
        <v>-20</v>
      </c>
      <c r="P5" s="13"/>
      <c r="Q5" s="5"/>
      <c r="R5" s="5"/>
      <c r="S5" s="5">
        <v>2.12</v>
      </c>
      <c r="T5" s="5">
        <v>1.8</v>
      </c>
      <c r="U5" s="5"/>
      <c r="V5" s="5"/>
      <c r="W5" s="5">
        <f>S5/T5</f>
        <v>1.1777777777777778</v>
      </c>
      <c r="X5" s="13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7" x14ac:dyDescent="0.4">
      <c r="A6" s="3"/>
      <c r="C6" s="2">
        <v>-15</v>
      </c>
      <c r="D6" s="2"/>
      <c r="E6" s="5"/>
      <c r="F6" s="5"/>
      <c r="G6" s="5">
        <v>3.2</v>
      </c>
      <c r="H6" s="5">
        <v>1.37</v>
      </c>
      <c r="I6" s="16"/>
      <c r="J6" s="5"/>
      <c r="K6" s="5">
        <f>G6/H6</f>
        <v>2.335766423357664</v>
      </c>
      <c r="L6" s="17"/>
      <c r="M6" s="6">
        <v>55</v>
      </c>
      <c r="N6" s="13"/>
      <c r="O6" s="13">
        <v>-15</v>
      </c>
      <c r="P6" s="13"/>
      <c r="Q6" s="5"/>
      <c r="R6" s="5"/>
      <c r="S6" s="5">
        <v>2.75</v>
      </c>
      <c r="T6" s="5">
        <v>1.92</v>
      </c>
      <c r="U6" s="5"/>
      <c r="V6" s="5"/>
      <c r="W6" s="5">
        <f>S6/T6</f>
        <v>1.4322916666666667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3.56</v>
      </c>
      <c r="AG6" s="7">
        <v>0.93</v>
      </c>
      <c r="AH6" s="7">
        <v>3.83</v>
      </c>
    </row>
    <row r="7" spans="1:37" x14ac:dyDescent="0.4">
      <c r="A7" s="3"/>
      <c r="C7" s="2">
        <v>-10</v>
      </c>
      <c r="D7" s="2"/>
      <c r="E7" s="5"/>
      <c r="F7" s="5"/>
      <c r="G7" s="5"/>
      <c r="H7" s="5"/>
      <c r="I7" s="16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4</v>
      </c>
      <c r="AA7" s="5">
        <v>2.6</v>
      </c>
      <c r="AB7" s="5">
        <v>2.9</v>
      </c>
      <c r="AC7" s="5">
        <v>1.66</v>
      </c>
      <c r="AD7" s="13"/>
      <c r="AE7" s="13" t="s">
        <v>40</v>
      </c>
      <c r="AF7" s="7">
        <v>3.2</v>
      </c>
      <c r="AG7" s="7">
        <v>0.68</v>
      </c>
      <c r="AH7" s="7">
        <v>4.71</v>
      </c>
    </row>
    <row r="8" spans="1:37" x14ac:dyDescent="0.4">
      <c r="A8" s="3"/>
      <c r="C8" s="2">
        <v>-7</v>
      </c>
      <c r="D8" s="2"/>
      <c r="E8" s="5"/>
      <c r="F8" s="5"/>
      <c r="G8" s="5">
        <v>3.3</v>
      </c>
      <c r="H8" s="5">
        <v>1.18</v>
      </c>
      <c r="I8" s="16"/>
      <c r="J8" s="5"/>
      <c r="K8" s="5">
        <f>G8/H8</f>
        <v>2.7966101694915255</v>
      </c>
      <c r="L8" s="17"/>
      <c r="M8" s="6">
        <v>60</v>
      </c>
      <c r="N8" s="13"/>
      <c r="O8" s="13">
        <v>-7</v>
      </c>
      <c r="P8" s="13"/>
      <c r="Q8" s="5"/>
      <c r="R8" s="5"/>
      <c r="S8" s="5">
        <v>3.2</v>
      </c>
      <c r="T8" s="5">
        <v>1.79</v>
      </c>
      <c r="U8" s="5"/>
      <c r="V8" s="5"/>
      <c r="W8" s="5">
        <f>S8/T8</f>
        <v>1.787709497206704</v>
      </c>
      <c r="X8" s="19"/>
      <c r="Y8" s="5">
        <f>AA8*(1.029-(0.05*Z8/G10))</f>
        <v>2.7280749999999996</v>
      </c>
      <c r="Z8" s="5">
        <v>3.5</v>
      </c>
      <c r="AA8" s="5">
        <v>2.8</v>
      </c>
      <c r="AB8" s="5">
        <v>2.6</v>
      </c>
      <c r="AC8" s="5">
        <v>2.1800000000000002</v>
      </c>
      <c r="AD8" s="13"/>
      <c r="AE8" s="13"/>
      <c r="AF8" s="19"/>
      <c r="AG8" s="19"/>
      <c r="AH8" s="20"/>
      <c r="AK8" s="23"/>
    </row>
    <row r="9" spans="1:37" x14ac:dyDescent="0.4">
      <c r="A9" s="3"/>
      <c r="C9" s="2">
        <v>2</v>
      </c>
      <c r="D9" s="2"/>
      <c r="E9" s="5"/>
      <c r="F9" s="5"/>
      <c r="G9" s="5">
        <v>3.2</v>
      </c>
      <c r="H9" s="5">
        <v>0.88</v>
      </c>
      <c r="I9" s="16"/>
      <c r="J9" s="5"/>
      <c r="K9" s="5">
        <f>G9/H9</f>
        <v>3.6363636363636367</v>
      </c>
      <c r="L9" s="17"/>
      <c r="M9" s="6">
        <v>60</v>
      </c>
      <c r="N9" s="13"/>
      <c r="O9" s="13">
        <v>2</v>
      </c>
      <c r="P9" s="13"/>
      <c r="Q9" s="5"/>
      <c r="R9" s="5"/>
      <c r="S9" s="5">
        <v>3.2</v>
      </c>
      <c r="T9" s="5">
        <v>1.46</v>
      </c>
      <c r="U9" s="5"/>
      <c r="V9" s="5"/>
      <c r="W9" s="5">
        <f>S9/T9</f>
        <v>2.1917808219178085</v>
      </c>
      <c r="X9" s="19"/>
      <c r="Y9" s="5">
        <f>AA9*(0.906-(0.044*Z9/G10))</f>
        <v>4.5154899999999998</v>
      </c>
      <c r="Z9" s="5">
        <v>2</v>
      </c>
      <c r="AA9" s="5">
        <v>5.14</v>
      </c>
      <c r="AB9" s="5">
        <v>1.6</v>
      </c>
      <c r="AC9" s="5">
        <v>3.42</v>
      </c>
      <c r="AD9" s="13"/>
      <c r="AE9" s="13"/>
      <c r="AF9" s="19"/>
      <c r="AG9" s="19"/>
      <c r="AH9" s="20"/>
      <c r="AK9" s="23"/>
    </row>
    <row r="10" spans="1:37" x14ac:dyDescent="0.4">
      <c r="A10" s="3"/>
      <c r="C10" s="2">
        <v>7</v>
      </c>
      <c r="D10" s="2"/>
      <c r="E10" s="5"/>
      <c r="F10" s="5"/>
      <c r="G10" s="5">
        <v>3.2</v>
      </c>
      <c r="H10" s="5">
        <v>0.6</v>
      </c>
      <c r="I10" s="16"/>
      <c r="J10" s="5"/>
      <c r="K10" s="5">
        <f>G10/H10</f>
        <v>5.3333333333333339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3.2</v>
      </c>
      <c r="T10" s="5">
        <v>1.1399999999999999</v>
      </c>
      <c r="U10" s="5"/>
      <c r="V10" s="5"/>
      <c r="W10" s="5">
        <f>S10/T10</f>
        <v>2.8070175438596494</v>
      </c>
      <c r="X10" s="19"/>
      <c r="Y10" s="5">
        <f>K10</f>
        <v>5.3333333333333339</v>
      </c>
      <c r="Z10" s="5">
        <v>1.4</v>
      </c>
      <c r="AA10" s="5">
        <v>6.8</v>
      </c>
      <c r="AB10" s="5">
        <v>1.1000000000000001</v>
      </c>
      <c r="AC10" s="5">
        <v>4.43</v>
      </c>
      <c r="AD10" s="13"/>
      <c r="AE10" s="13"/>
      <c r="AF10" s="19"/>
      <c r="AG10" s="19"/>
      <c r="AH10" s="20"/>
      <c r="AK10" s="23"/>
    </row>
    <row r="11" spans="1:37" x14ac:dyDescent="0.4">
      <c r="A11" s="3"/>
      <c r="C11" s="2">
        <v>12</v>
      </c>
      <c r="D11" s="2"/>
      <c r="E11" s="5"/>
      <c r="F11" s="5"/>
      <c r="G11" s="5"/>
      <c r="H11" s="5"/>
      <c r="I11" s="16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1.6</v>
      </c>
      <c r="AA11" s="5">
        <v>9.5</v>
      </c>
      <c r="AB11" s="5">
        <v>1.4</v>
      </c>
      <c r="AC11" s="5">
        <v>6.97</v>
      </c>
      <c r="AD11" s="13"/>
      <c r="AE11" s="13"/>
      <c r="AF11" s="19"/>
      <c r="AG11" s="19"/>
      <c r="AH11" s="20"/>
    </row>
    <row r="12" spans="1:37" x14ac:dyDescent="0.4">
      <c r="A12" s="8"/>
      <c r="B12" s="8"/>
      <c r="C12" s="9"/>
      <c r="D12" s="9"/>
      <c r="E12" s="18"/>
      <c r="F12" s="18"/>
      <c r="G12" s="18"/>
      <c r="H12" s="18"/>
      <c r="I12" s="18"/>
      <c r="J12" s="18"/>
      <c r="K12" s="18"/>
      <c r="L12" s="18"/>
      <c r="M12" s="18"/>
      <c r="N12" s="14"/>
      <c r="O12" s="14"/>
      <c r="P12" s="14"/>
      <c r="Q12" s="18"/>
      <c r="R12" s="18"/>
      <c r="S12" s="18"/>
      <c r="T12" s="18"/>
      <c r="U12" s="18"/>
      <c r="V12" s="18"/>
      <c r="W12" s="18"/>
      <c r="X12" s="18"/>
      <c r="Y12" s="22"/>
      <c r="Z12" s="22"/>
      <c r="AA12" s="22"/>
      <c r="AB12" s="22"/>
      <c r="AC12" s="22"/>
      <c r="AD12" s="14"/>
      <c r="AE12" s="14"/>
      <c r="AF12" s="18"/>
      <c r="AG12" s="18"/>
      <c r="AH12" s="18"/>
    </row>
    <row r="13" spans="1:37" x14ac:dyDescent="0.4">
      <c r="A13" s="3" t="s">
        <v>58</v>
      </c>
      <c r="B13" s="1" t="s">
        <v>11</v>
      </c>
      <c r="C13" s="4">
        <v>-25</v>
      </c>
      <c r="D13" s="2"/>
      <c r="E13" s="5"/>
      <c r="F13" s="5"/>
      <c r="G13" s="5">
        <v>2.52</v>
      </c>
      <c r="H13" s="5">
        <v>1.31</v>
      </c>
      <c r="I13" s="16"/>
      <c r="J13" s="5"/>
      <c r="K13" s="5">
        <f>G13/H13</f>
        <v>1.9236641221374045</v>
      </c>
      <c r="L13" s="17"/>
      <c r="M13" s="6">
        <v>55</v>
      </c>
      <c r="N13" s="13"/>
      <c r="O13" s="4">
        <v>-25</v>
      </c>
      <c r="P13" s="13"/>
      <c r="Q13" s="5"/>
      <c r="R13" s="5"/>
      <c r="S13" s="5">
        <v>2.12</v>
      </c>
      <c r="T13" s="5">
        <v>1.8</v>
      </c>
      <c r="U13" s="5"/>
      <c r="V13" s="5"/>
      <c r="W13" s="5">
        <f>S13/T13</f>
        <v>1.1777777777777778</v>
      </c>
      <c r="X13" s="4">
        <v>6</v>
      </c>
      <c r="Y13" s="17"/>
      <c r="Z13" s="5"/>
      <c r="AA13" s="5"/>
      <c r="AB13" s="5"/>
      <c r="AC13" s="5"/>
      <c r="AD13" s="13"/>
      <c r="AE13" s="13" t="s">
        <v>37</v>
      </c>
      <c r="AF13" s="7">
        <v>3.2</v>
      </c>
      <c r="AG13" s="7">
        <v>0.91</v>
      </c>
      <c r="AH13" s="7">
        <f>AF13/AG13</f>
        <v>3.5164835164835164</v>
      </c>
    </row>
    <row r="14" spans="1:37" x14ac:dyDescent="0.4">
      <c r="A14" s="3"/>
      <c r="C14" s="13">
        <v>-20</v>
      </c>
      <c r="D14" s="2"/>
      <c r="E14" s="5"/>
      <c r="F14" s="5"/>
      <c r="G14" s="5">
        <v>2.52</v>
      </c>
      <c r="H14" s="5">
        <v>1.31</v>
      </c>
      <c r="I14" s="16"/>
      <c r="J14" s="5"/>
      <c r="K14" s="5">
        <f>G14/H14</f>
        <v>1.9236641221374045</v>
      </c>
      <c r="L14" s="17"/>
      <c r="M14" s="6">
        <v>55</v>
      </c>
      <c r="N14" s="13"/>
      <c r="O14" s="13">
        <v>-20</v>
      </c>
      <c r="P14" s="13"/>
      <c r="Q14" s="5"/>
      <c r="R14" s="5"/>
      <c r="S14" s="5">
        <v>2.12</v>
      </c>
      <c r="T14" s="5">
        <v>1.8</v>
      </c>
      <c r="U14" s="5"/>
      <c r="V14" s="5"/>
      <c r="W14" s="5">
        <f>S14/T14</f>
        <v>1.1777777777777778</v>
      </c>
      <c r="X14" s="13"/>
      <c r="Y14" s="17"/>
      <c r="Z14" s="5"/>
      <c r="AA14" s="5"/>
      <c r="AB14" s="5"/>
      <c r="AC14" s="5"/>
      <c r="AD14" s="13"/>
      <c r="AE14" s="13"/>
      <c r="AF14" s="7"/>
      <c r="AG14" s="7"/>
      <c r="AH14" s="7"/>
    </row>
    <row r="15" spans="1:37" x14ac:dyDescent="0.4">
      <c r="A15" s="3"/>
      <c r="C15" s="2">
        <v>-15</v>
      </c>
      <c r="D15" s="2"/>
      <c r="E15" s="5"/>
      <c r="F15" s="5"/>
      <c r="G15" s="5">
        <v>3.2</v>
      </c>
      <c r="H15" s="5">
        <v>1.37</v>
      </c>
      <c r="I15" s="16"/>
      <c r="J15" s="5"/>
      <c r="K15" s="5">
        <f>G15/H15</f>
        <v>2.335766423357664</v>
      </c>
      <c r="L15" s="17"/>
      <c r="M15" s="6">
        <v>55</v>
      </c>
      <c r="N15" s="13"/>
      <c r="O15" s="13">
        <v>-15</v>
      </c>
      <c r="P15" s="13"/>
      <c r="Q15" s="5"/>
      <c r="R15" s="5"/>
      <c r="S15" s="5">
        <v>2.75</v>
      </c>
      <c r="T15" s="5">
        <v>1.92</v>
      </c>
      <c r="U15" s="5"/>
      <c r="V15" s="5"/>
      <c r="W15" s="5">
        <f>S15/T15</f>
        <v>1.4322916666666667</v>
      </c>
      <c r="X15" s="19"/>
      <c r="Y15" s="17"/>
      <c r="Z15" s="5"/>
      <c r="AA15" s="5"/>
      <c r="AB15" s="5"/>
      <c r="AC15" s="5"/>
      <c r="AD15" s="13"/>
      <c r="AE15" s="13" t="s">
        <v>38</v>
      </c>
      <c r="AF15" s="7">
        <v>3.56</v>
      </c>
      <c r="AG15" s="7">
        <v>0.93</v>
      </c>
      <c r="AH15" s="7">
        <v>3.83</v>
      </c>
    </row>
    <row r="16" spans="1:37" x14ac:dyDescent="0.4">
      <c r="A16" s="3"/>
      <c r="C16" s="2">
        <v>-10</v>
      </c>
      <c r="D16" s="2"/>
      <c r="E16" s="5"/>
      <c r="F16" s="5"/>
      <c r="G16" s="5"/>
      <c r="H16" s="5"/>
      <c r="I16" s="16"/>
      <c r="J16" s="5"/>
      <c r="K16" s="5"/>
      <c r="L16" s="17"/>
      <c r="M16" s="6">
        <v>60</v>
      </c>
      <c r="N16" s="13"/>
      <c r="O16" s="13">
        <v>-10</v>
      </c>
      <c r="P16" s="13"/>
      <c r="Q16" s="5"/>
      <c r="R16" s="5"/>
      <c r="S16" s="5"/>
      <c r="T16" s="5"/>
      <c r="U16" s="5"/>
      <c r="V16" s="5"/>
      <c r="W16" s="5"/>
      <c r="X16" s="19"/>
      <c r="Y16" s="17" t="s">
        <v>39</v>
      </c>
      <c r="Z16" s="5">
        <v>4</v>
      </c>
      <c r="AA16" s="5">
        <v>2.6</v>
      </c>
      <c r="AB16" s="5">
        <v>2.9</v>
      </c>
      <c r="AC16" s="5">
        <v>1.66</v>
      </c>
      <c r="AD16" s="13"/>
      <c r="AE16" s="13" t="s">
        <v>40</v>
      </c>
      <c r="AF16" s="7">
        <v>3.2</v>
      </c>
      <c r="AG16" s="7">
        <v>0.68</v>
      </c>
      <c r="AH16" s="7">
        <v>4.71</v>
      </c>
    </row>
    <row r="17" spans="1:34" x14ac:dyDescent="0.4">
      <c r="A17" s="3"/>
      <c r="C17" s="2">
        <v>-7</v>
      </c>
      <c r="D17" s="2"/>
      <c r="E17" s="5"/>
      <c r="F17" s="5"/>
      <c r="G17" s="5">
        <v>3.3</v>
      </c>
      <c r="H17" s="5">
        <v>1.18</v>
      </c>
      <c r="I17" s="16"/>
      <c r="J17" s="5"/>
      <c r="K17" s="5">
        <f>G17/H17</f>
        <v>2.7966101694915255</v>
      </c>
      <c r="L17" s="17"/>
      <c r="M17" s="6">
        <v>60</v>
      </c>
      <c r="N17" s="13"/>
      <c r="O17" s="13">
        <v>-7</v>
      </c>
      <c r="P17" s="13"/>
      <c r="Q17" s="5"/>
      <c r="R17" s="5"/>
      <c r="S17" s="5">
        <v>3.2</v>
      </c>
      <c r="T17" s="5">
        <v>1.79</v>
      </c>
      <c r="U17" s="5"/>
      <c r="V17" s="5"/>
      <c r="W17" s="5">
        <f>S17/T17</f>
        <v>1.787709497206704</v>
      </c>
      <c r="X17" s="19"/>
      <c r="Y17" s="5">
        <f>AA17*(1.029-(0.05*Z17/G19))</f>
        <v>2.7280749999999996</v>
      </c>
      <c r="Z17" s="5">
        <v>3.5</v>
      </c>
      <c r="AA17" s="5">
        <v>2.8</v>
      </c>
      <c r="AB17" s="5">
        <v>2.6</v>
      </c>
      <c r="AC17" s="5">
        <v>2.1800000000000002</v>
      </c>
      <c r="AD17" s="13"/>
      <c r="AE17" s="13"/>
      <c r="AF17" s="19"/>
      <c r="AG17" s="19"/>
      <c r="AH17" s="20"/>
    </row>
    <row r="18" spans="1:34" x14ac:dyDescent="0.4">
      <c r="A18" s="3"/>
      <c r="C18" s="2">
        <v>2</v>
      </c>
      <c r="D18" s="2"/>
      <c r="E18" s="5"/>
      <c r="F18" s="5"/>
      <c r="G18" s="5">
        <v>3.2</v>
      </c>
      <c r="H18" s="5">
        <v>0.88</v>
      </c>
      <c r="I18" s="16"/>
      <c r="J18" s="5"/>
      <c r="K18" s="5">
        <f>G18/H18</f>
        <v>3.6363636363636367</v>
      </c>
      <c r="L18" s="17"/>
      <c r="M18" s="6">
        <v>60</v>
      </c>
      <c r="N18" s="13"/>
      <c r="O18" s="13">
        <v>2</v>
      </c>
      <c r="P18" s="13"/>
      <c r="Q18" s="5"/>
      <c r="R18" s="5"/>
      <c r="S18" s="5">
        <v>3.2</v>
      </c>
      <c r="T18" s="5">
        <v>1.46</v>
      </c>
      <c r="U18" s="5"/>
      <c r="V18" s="5"/>
      <c r="W18" s="5">
        <f>S18/T18</f>
        <v>2.1917808219178085</v>
      </c>
      <c r="X18" s="19"/>
      <c r="Y18" s="5">
        <f>AA18*(0.906-(0.044*Z18/G19))</f>
        <v>4.5154899999999998</v>
      </c>
      <c r="Z18" s="5">
        <v>2</v>
      </c>
      <c r="AA18" s="5">
        <v>5.14</v>
      </c>
      <c r="AB18" s="5">
        <v>1.6</v>
      </c>
      <c r="AC18" s="5">
        <v>3.42</v>
      </c>
      <c r="AD18" s="13"/>
      <c r="AE18" s="13"/>
      <c r="AF18" s="19"/>
      <c r="AG18" s="19"/>
      <c r="AH18" s="20"/>
    </row>
    <row r="19" spans="1:34" x14ac:dyDescent="0.4">
      <c r="A19" s="3"/>
      <c r="C19" s="2">
        <v>7</v>
      </c>
      <c r="D19" s="2"/>
      <c r="E19" s="5"/>
      <c r="F19" s="5"/>
      <c r="G19" s="5">
        <v>3.2</v>
      </c>
      <c r="H19" s="5">
        <v>0.6</v>
      </c>
      <c r="I19" s="16"/>
      <c r="J19" s="5"/>
      <c r="K19" s="5">
        <f>G19/H19</f>
        <v>5.3333333333333339</v>
      </c>
      <c r="L19" s="17"/>
      <c r="M19" s="6">
        <v>60</v>
      </c>
      <c r="N19" s="13"/>
      <c r="O19" s="13">
        <v>7</v>
      </c>
      <c r="P19" s="13"/>
      <c r="Q19" s="5"/>
      <c r="R19" s="5"/>
      <c r="S19" s="5">
        <v>3.2</v>
      </c>
      <c r="T19" s="5">
        <v>1.1399999999999999</v>
      </c>
      <c r="U19" s="5"/>
      <c r="V19" s="5"/>
      <c r="W19" s="5">
        <f>S19/T19</f>
        <v>2.8070175438596494</v>
      </c>
      <c r="X19" s="19"/>
      <c r="Y19" s="5">
        <f>K19</f>
        <v>5.3333333333333339</v>
      </c>
      <c r="Z19" s="5">
        <v>1.4</v>
      </c>
      <c r="AA19" s="5">
        <v>6.8</v>
      </c>
      <c r="AB19" s="5">
        <v>1.1000000000000001</v>
      </c>
      <c r="AC19" s="5">
        <v>4.43</v>
      </c>
      <c r="AD19" s="13"/>
      <c r="AE19" s="13"/>
      <c r="AF19" s="19"/>
      <c r="AG19" s="19"/>
      <c r="AH19" s="20"/>
    </row>
    <row r="20" spans="1:34" x14ac:dyDescent="0.4">
      <c r="A20" s="3"/>
      <c r="C20" s="2">
        <v>12</v>
      </c>
      <c r="D20" s="2"/>
      <c r="E20" s="5"/>
      <c r="F20" s="5"/>
      <c r="G20" s="5"/>
      <c r="H20" s="5"/>
      <c r="I20" s="16"/>
      <c r="J20" s="5"/>
      <c r="K20" s="5"/>
      <c r="L20" s="17"/>
      <c r="M20" s="6">
        <v>60</v>
      </c>
      <c r="N20" s="13"/>
      <c r="O20" s="13">
        <v>12</v>
      </c>
      <c r="P20" s="13"/>
      <c r="Q20" s="5"/>
      <c r="R20" s="5"/>
      <c r="S20" s="5"/>
      <c r="T20" s="5"/>
      <c r="U20" s="5"/>
      <c r="V20" s="5"/>
      <c r="W20" s="5"/>
      <c r="X20" s="19"/>
      <c r="Y20" s="17"/>
      <c r="Z20" s="5">
        <v>1.6</v>
      </c>
      <c r="AA20" s="5">
        <v>9.5</v>
      </c>
      <c r="AB20" s="5">
        <v>1.4</v>
      </c>
      <c r="AC20" s="5">
        <v>6.97</v>
      </c>
      <c r="AD20" s="13"/>
      <c r="AE20" s="13"/>
      <c r="AF20" s="19"/>
      <c r="AG20" s="19"/>
      <c r="AH20" s="20"/>
    </row>
    <row r="21" spans="1:34" x14ac:dyDescent="0.4">
      <c r="A21" s="8"/>
      <c r="B21" s="8"/>
      <c r="C21" s="9"/>
      <c r="D21" s="9"/>
      <c r="E21" s="18"/>
      <c r="F21" s="18"/>
      <c r="G21" s="18"/>
      <c r="H21" s="18"/>
      <c r="I21" s="18"/>
      <c r="J21" s="18"/>
      <c r="K21" s="18"/>
      <c r="L21" s="18"/>
      <c r="M21" s="18"/>
      <c r="N21" s="14"/>
      <c r="O21" s="14"/>
      <c r="P21" s="14"/>
      <c r="Q21" s="18"/>
      <c r="R21" s="18"/>
      <c r="S21" s="18"/>
      <c r="T21" s="18"/>
      <c r="U21" s="18"/>
      <c r="V21" s="18"/>
      <c r="W21" s="18"/>
      <c r="X21" s="18"/>
      <c r="Y21" s="22"/>
      <c r="Z21" s="22"/>
      <c r="AA21" s="22"/>
      <c r="AB21" s="22"/>
      <c r="AC21" s="22"/>
      <c r="AD21" s="14"/>
      <c r="AE21" s="14"/>
      <c r="AF21" s="18"/>
      <c r="AG21" s="18"/>
      <c r="AH21" s="18"/>
    </row>
    <row r="22" spans="1:34" x14ac:dyDescent="0.4">
      <c r="A22" s="3" t="s">
        <v>59</v>
      </c>
      <c r="B22" s="1" t="s">
        <v>12</v>
      </c>
      <c r="C22" s="4">
        <v>-25</v>
      </c>
      <c r="D22" s="2"/>
      <c r="E22" s="5"/>
      <c r="F22" s="5"/>
      <c r="G22" s="5"/>
      <c r="H22" s="5"/>
      <c r="I22" s="5"/>
      <c r="J22" s="5"/>
      <c r="K22" s="5"/>
      <c r="L22" s="17"/>
      <c r="M22" s="6">
        <v>55</v>
      </c>
      <c r="N22" s="13"/>
      <c r="O22" s="4">
        <v>-25</v>
      </c>
      <c r="P22" s="13"/>
      <c r="Q22" s="5"/>
      <c r="R22" s="5"/>
      <c r="S22" s="5"/>
      <c r="T22" s="5"/>
      <c r="U22" s="5"/>
      <c r="V22" s="5"/>
      <c r="W22" s="5"/>
      <c r="X22" s="4">
        <v>3</v>
      </c>
      <c r="Y22" s="17"/>
      <c r="Z22" s="5"/>
      <c r="AA22" s="5"/>
      <c r="AB22" s="5"/>
      <c r="AC22" s="5"/>
      <c r="AD22" s="13"/>
      <c r="AE22" s="13" t="s">
        <v>37</v>
      </c>
      <c r="AF22" s="7">
        <v>5</v>
      </c>
      <c r="AG22" s="7">
        <v>1.64</v>
      </c>
      <c r="AH22" s="7">
        <f>AF22/AG22</f>
        <v>3.0487804878048781</v>
      </c>
    </row>
    <row r="23" spans="1:34" x14ac:dyDescent="0.4">
      <c r="A23" s="3"/>
      <c r="C23" s="13">
        <v>-20</v>
      </c>
      <c r="D23" s="2"/>
      <c r="E23" s="5"/>
      <c r="F23" s="5"/>
      <c r="G23" s="5">
        <v>4.05</v>
      </c>
      <c r="H23" s="5">
        <v>1.95</v>
      </c>
      <c r="I23" s="5"/>
      <c r="J23" s="5"/>
      <c r="K23" s="5">
        <f>G23/H23</f>
        <v>2.0769230769230771</v>
      </c>
      <c r="L23" s="17"/>
      <c r="M23" s="6">
        <v>55</v>
      </c>
      <c r="N23" s="13"/>
      <c r="O23" s="13">
        <v>-20</v>
      </c>
      <c r="P23" s="13"/>
      <c r="Q23" s="5"/>
      <c r="R23" s="5"/>
      <c r="S23" s="5">
        <v>3.39</v>
      </c>
      <c r="T23" s="5">
        <v>2.48</v>
      </c>
      <c r="U23" s="5"/>
      <c r="V23" s="5"/>
      <c r="W23" s="5">
        <f>S23/T23</f>
        <v>1.3669354838709677</v>
      </c>
      <c r="X23" s="19"/>
      <c r="Y23" s="17"/>
      <c r="Z23" s="5"/>
      <c r="AA23" s="5"/>
      <c r="AB23" s="5"/>
      <c r="AC23" s="5"/>
      <c r="AD23" s="13"/>
      <c r="AE23" s="13"/>
      <c r="AF23" s="7"/>
      <c r="AG23" s="7"/>
      <c r="AH23" s="7"/>
    </row>
    <row r="24" spans="1:34" x14ac:dyDescent="0.4">
      <c r="A24" s="3"/>
      <c r="C24" s="2">
        <v>-15</v>
      </c>
      <c r="D24" s="2"/>
      <c r="E24" s="5"/>
      <c r="F24" s="5"/>
      <c r="G24" s="5">
        <v>5</v>
      </c>
      <c r="H24" s="5">
        <v>2.11</v>
      </c>
      <c r="I24" s="5"/>
      <c r="J24" s="5"/>
      <c r="K24" s="5">
        <f>G24/H24</f>
        <v>2.3696682464454977</v>
      </c>
      <c r="L24" s="17"/>
      <c r="M24" s="6">
        <v>55</v>
      </c>
      <c r="N24" s="13"/>
      <c r="O24" s="13">
        <v>-15</v>
      </c>
      <c r="P24" s="13"/>
      <c r="Q24" s="5"/>
      <c r="R24" s="5"/>
      <c r="S24" s="5">
        <v>4.3</v>
      </c>
      <c r="T24" s="5">
        <v>2.61</v>
      </c>
      <c r="U24" s="5"/>
      <c r="V24" s="5"/>
      <c r="W24" s="5">
        <f>S24/T24</f>
        <v>1.6475095785440612</v>
      </c>
      <c r="X24" s="19"/>
      <c r="Y24" s="17"/>
      <c r="Z24" s="5"/>
      <c r="AA24" s="5"/>
      <c r="AB24" s="5"/>
      <c r="AC24" s="5"/>
      <c r="AD24" s="13"/>
      <c r="AE24" s="13" t="s">
        <v>38</v>
      </c>
      <c r="AF24" s="7">
        <v>6.69</v>
      </c>
      <c r="AG24" s="7">
        <v>1.76</v>
      </c>
      <c r="AH24" s="7">
        <f t="shared" ref="AH24:AH25" si="0">AF24/AG24</f>
        <v>3.8011363636363638</v>
      </c>
    </row>
    <row r="25" spans="1:34" x14ac:dyDescent="0.4">
      <c r="A25" s="3"/>
      <c r="C25" s="2">
        <v>-10</v>
      </c>
      <c r="D25" s="2"/>
      <c r="E25" s="5"/>
      <c r="F25" s="5"/>
      <c r="G25" s="5"/>
      <c r="H25" s="5"/>
      <c r="I25" s="5"/>
      <c r="J25" s="5"/>
      <c r="K25" s="5"/>
      <c r="L25" s="17"/>
      <c r="M25" s="6">
        <v>60</v>
      </c>
      <c r="N25" s="13"/>
      <c r="O25" s="13">
        <v>-10</v>
      </c>
      <c r="P25" s="13"/>
      <c r="Q25" s="5"/>
      <c r="R25" s="5"/>
      <c r="S25" s="5"/>
      <c r="T25" s="5"/>
      <c r="U25" s="5"/>
      <c r="V25" s="5"/>
      <c r="W25" s="5"/>
      <c r="X25" s="19"/>
      <c r="Y25" s="17" t="s">
        <v>39</v>
      </c>
      <c r="Z25" s="5">
        <v>5</v>
      </c>
      <c r="AA25" s="5">
        <v>2.5</v>
      </c>
      <c r="AB25" s="5">
        <v>5</v>
      </c>
      <c r="AC25" s="5">
        <v>1.98</v>
      </c>
      <c r="AD25" s="13"/>
      <c r="AE25" s="13" t="s">
        <v>40</v>
      </c>
      <c r="AF25" s="7">
        <v>5</v>
      </c>
      <c r="AG25" s="7">
        <v>1.02</v>
      </c>
      <c r="AH25" s="7">
        <f t="shared" si="0"/>
        <v>4.9019607843137258</v>
      </c>
    </row>
    <row r="26" spans="1:34" x14ac:dyDescent="0.4">
      <c r="A26" s="3"/>
      <c r="C26" s="2">
        <v>-7</v>
      </c>
      <c r="D26" s="2"/>
      <c r="E26" s="5"/>
      <c r="F26" s="5"/>
      <c r="G26" s="5">
        <v>5</v>
      </c>
      <c r="H26" s="5">
        <v>1.79</v>
      </c>
      <c r="I26" s="5"/>
      <c r="J26" s="5"/>
      <c r="K26" s="5">
        <f>G26/H26</f>
        <v>2.7932960893854748</v>
      </c>
      <c r="L26" s="17"/>
      <c r="M26" s="6">
        <v>60</v>
      </c>
      <c r="N26" s="13"/>
      <c r="O26" s="13">
        <v>-7</v>
      </c>
      <c r="P26" s="13"/>
      <c r="Q26" s="5"/>
      <c r="R26" s="5"/>
      <c r="S26" s="5">
        <v>5</v>
      </c>
      <c r="T26" s="5">
        <v>2.65</v>
      </c>
      <c r="U26" s="5"/>
      <c r="V26" s="5"/>
      <c r="W26" s="5">
        <f>S26/T26</f>
        <v>1.8867924528301887</v>
      </c>
      <c r="X26" s="19"/>
      <c r="Y26" s="5">
        <f>AA26*(1.029-(0.05*Z26/G28))</f>
        <v>2.7185999999999995</v>
      </c>
      <c r="Z26" s="5">
        <v>4.4000000000000004</v>
      </c>
      <c r="AA26" s="5">
        <v>2.76</v>
      </c>
      <c r="AB26" s="5">
        <v>4.5</v>
      </c>
      <c r="AC26" s="5">
        <v>2.2999999999999998</v>
      </c>
      <c r="AD26" s="13"/>
      <c r="AE26" s="13"/>
      <c r="AF26" s="19"/>
      <c r="AG26" s="19"/>
      <c r="AH26" s="20"/>
    </row>
    <row r="27" spans="1:34" x14ac:dyDescent="0.4">
      <c r="A27" s="3"/>
      <c r="C27" s="2">
        <v>2</v>
      </c>
      <c r="D27" s="2"/>
      <c r="E27" s="5"/>
      <c r="F27" s="5"/>
      <c r="G27" s="5">
        <v>5</v>
      </c>
      <c r="H27" s="5">
        <v>1.4</v>
      </c>
      <c r="I27" s="5"/>
      <c r="J27" s="5"/>
      <c r="K27" s="5">
        <f>G27/H27</f>
        <v>3.5714285714285716</v>
      </c>
      <c r="L27" s="17"/>
      <c r="M27" s="6">
        <v>60</v>
      </c>
      <c r="N27" s="13"/>
      <c r="O27" s="13">
        <v>2</v>
      </c>
      <c r="P27" s="13"/>
      <c r="Q27" s="5"/>
      <c r="R27" s="5"/>
      <c r="S27" s="5">
        <v>5</v>
      </c>
      <c r="T27" s="5">
        <v>2.1800000000000002</v>
      </c>
      <c r="U27" s="5"/>
      <c r="V27" s="5"/>
      <c r="W27" s="5">
        <f>S27/T27</f>
        <v>2.2935779816513762</v>
      </c>
      <c r="X27" s="19"/>
      <c r="Y27" s="5">
        <f>AA27*(0.906-(0.044*Z27/G28))</f>
        <v>4.8041728000000008</v>
      </c>
      <c r="Z27" s="5">
        <v>2.6</v>
      </c>
      <c r="AA27" s="5">
        <v>5.44</v>
      </c>
      <c r="AB27" s="5">
        <v>2.7</v>
      </c>
      <c r="AC27" s="5">
        <v>3.58</v>
      </c>
      <c r="AD27" s="13"/>
      <c r="AE27" s="13"/>
      <c r="AF27" s="19"/>
      <c r="AG27" s="19"/>
      <c r="AH27" s="20"/>
    </row>
    <row r="28" spans="1:34" x14ac:dyDescent="0.4">
      <c r="A28" s="3"/>
      <c r="C28" s="2">
        <v>7</v>
      </c>
      <c r="D28" s="2"/>
      <c r="E28" s="5"/>
      <c r="F28" s="5"/>
      <c r="G28" s="5">
        <v>5</v>
      </c>
      <c r="H28" s="5">
        <v>0.98</v>
      </c>
      <c r="I28" s="5"/>
      <c r="J28" s="5"/>
      <c r="K28" s="5">
        <f>G28/H28</f>
        <v>5.1020408163265305</v>
      </c>
      <c r="L28" s="17"/>
      <c r="M28" s="6">
        <v>60</v>
      </c>
      <c r="N28" s="13"/>
      <c r="O28" s="13">
        <v>7</v>
      </c>
      <c r="P28" s="13"/>
      <c r="Q28" s="5"/>
      <c r="R28" s="5"/>
      <c r="S28" s="5">
        <v>5</v>
      </c>
      <c r="T28" s="5">
        <v>1.65</v>
      </c>
      <c r="U28" s="5"/>
      <c r="V28" s="5"/>
      <c r="W28" s="5">
        <f>S28/T28</f>
        <v>3.0303030303030303</v>
      </c>
      <c r="X28" s="19"/>
      <c r="Y28" s="5">
        <f>K28</f>
        <v>5.1020408163265305</v>
      </c>
      <c r="Z28" s="5">
        <v>3</v>
      </c>
      <c r="AA28" s="5">
        <v>7.15</v>
      </c>
      <c r="AB28" s="5">
        <v>2.8</v>
      </c>
      <c r="AC28" s="5">
        <v>4.8899999999999997</v>
      </c>
      <c r="AD28" s="13"/>
      <c r="AE28" s="13"/>
      <c r="AF28" s="19"/>
      <c r="AG28" s="19"/>
      <c r="AH28" s="20"/>
    </row>
    <row r="29" spans="1:34" x14ac:dyDescent="0.4">
      <c r="A29" s="3"/>
      <c r="C29" s="2">
        <v>12</v>
      </c>
      <c r="D29" s="2"/>
      <c r="E29" s="5"/>
      <c r="F29" s="5"/>
      <c r="G29" s="5"/>
      <c r="H29" s="5"/>
      <c r="I29" s="5"/>
      <c r="J29" s="5"/>
      <c r="K29" s="5"/>
      <c r="L29" s="17"/>
      <c r="M29" s="6">
        <v>60</v>
      </c>
      <c r="N29" s="13"/>
      <c r="O29" s="13">
        <v>12</v>
      </c>
      <c r="P29" s="13"/>
      <c r="Q29" s="5"/>
      <c r="R29" s="5"/>
      <c r="S29" s="5"/>
      <c r="T29" s="5"/>
      <c r="U29" s="5"/>
      <c r="V29" s="5"/>
      <c r="W29" s="5"/>
      <c r="X29" s="19"/>
      <c r="Y29" s="17"/>
      <c r="Z29" s="5">
        <v>3.5</v>
      </c>
      <c r="AA29" s="5">
        <v>9.5500000000000007</v>
      </c>
      <c r="AB29" s="5">
        <v>3.4</v>
      </c>
      <c r="AC29" s="5">
        <v>6.92</v>
      </c>
      <c r="AD29" s="13"/>
      <c r="AE29" s="13"/>
      <c r="AF29" s="19"/>
      <c r="AG29" s="19"/>
      <c r="AH29" s="20"/>
    </row>
    <row r="30" spans="1:34" x14ac:dyDescent="0.4">
      <c r="A30" s="8"/>
      <c r="B30" s="8"/>
      <c r="C30" s="9"/>
      <c r="D30" s="9"/>
      <c r="E30" s="18"/>
      <c r="F30" s="18"/>
      <c r="G30" s="18"/>
      <c r="H30" s="18"/>
      <c r="I30" s="18"/>
      <c r="J30" s="18"/>
      <c r="K30" s="18"/>
      <c r="L30" s="18"/>
      <c r="M30" s="18"/>
      <c r="N30" s="14"/>
      <c r="O30" s="14"/>
      <c r="P30" s="14"/>
      <c r="Q30" s="18"/>
      <c r="R30" s="18"/>
      <c r="S30" s="18"/>
      <c r="T30" s="18"/>
      <c r="U30" s="18"/>
      <c r="V30" s="18"/>
      <c r="W30" s="18"/>
      <c r="X30" s="18"/>
      <c r="Y30" s="22"/>
      <c r="Z30" s="22"/>
      <c r="AA30" s="22"/>
      <c r="AB30" s="22"/>
      <c r="AC30" s="22"/>
      <c r="AD30" s="14"/>
      <c r="AE30" s="14"/>
      <c r="AF30" s="18"/>
      <c r="AG30" s="18"/>
      <c r="AH30" s="18"/>
    </row>
    <row r="31" spans="1:34" x14ac:dyDescent="0.4">
      <c r="A31" s="3" t="s">
        <v>58</v>
      </c>
      <c r="B31" s="1" t="s">
        <v>12</v>
      </c>
      <c r="C31" s="4">
        <v>-25</v>
      </c>
      <c r="D31" s="2"/>
      <c r="E31" s="5"/>
      <c r="F31" s="5"/>
      <c r="G31" s="5"/>
      <c r="H31" s="5"/>
      <c r="I31" s="5"/>
      <c r="J31" s="5"/>
      <c r="K31" s="5"/>
      <c r="L31" s="17"/>
      <c r="M31" s="6">
        <v>55</v>
      </c>
      <c r="N31" s="13"/>
      <c r="O31" s="4">
        <v>-25</v>
      </c>
      <c r="P31" s="13"/>
      <c r="Q31" s="5"/>
      <c r="R31" s="5"/>
      <c r="S31" s="5"/>
      <c r="T31" s="5"/>
      <c r="U31" s="5"/>
      <c r="V31" s="5"/>
      <c r="W31" s="5"/>
      <c r="X31" s="4">
        <v>6</v>
      </c>
      <c r="Y31" s="17"/>
      <c r="Z31" s="5"/>
      <c r="AA31" s="5"/>
      <c r="AB31" s="5"/>
      <c r="AC31" s="5"/>
      <c r="AD31" s="13"/>
      <c r="AE31" s="13" t="s">
        <v>37</v>
      </c>
      <c r="AF31" s="7">
        <v>5</v>
      </c>
      <c r="AG31" s="7">
        <v>1.64</v>
      </c>
      <c r="AH31" s="7">
        <f>AF31/AG31</f>
        <v>3.0487804878048781</v>
      </c>
    </row>
    <row r="32" spans="1:34" x14ac:dyDescent="0.4">
      <c r="A32" s="3"/>
      <c r="C32" s="13">
        <v>-20</v>
      </c>
      <c r="D32" s="2"/>
      <c r="E32" s="5"/>
      <c r="F32" s="5"/>
      <c r="G32" s="5">
        <v>4.05</v>
      </c>
      <c r="H32" s="5">
        <v>1.95</v>
      </c>
      <c r="I32" s="5"/>
      <c r="J32" s="5"/>
      <c r="K32" s="5">
        <f>G32/H32</f>
        <v>2.0769230769230771</v>
      </c>
      <c r="L32" s="17"/>
      <c r="M32" s="6">
        <v>55</v>
      </c>
      <c r="N32" s="13"/>
      <c r="O32" s="13">
        <v>-20</v>
      </c>
      <c r="P32" s="13"/>
      <c r="Q32" s="5"/>
      <c r="R32" s="5"/>
      <c r="S32" s="5">
        <v>3.39</v>
      </c>
      <c r="T32" s="5">
        <v>2.48</v>
      </c>
      <c r="U32" s="5"/>
      <c r="V32" s="5"/>
      <c r="W32" s="5">
        <f>S32/T32</f>
        <v>1.3669354838709677</v>
      </c>
      <c r="X32" s="19"/>
      <c r="Y32" s="17"/>
      <c r="Z32" s="5"/>
      <c r="AA32" s="5"/>
      <c r="AB32" s="5"/>
      <c r="AC32" s="5"/>
      <c r="AD32" s="13"/>
      <c r="AE32" s="13"/>
      <c r="AF32" s="7"/>
      <c r="AG32" s="7"/>
      <c r="AH32" s="7"/>
    </row>
    <row r="33" spans="1:34" x14ac:dyDescent="0.4">
      <c r="A33" s="3"/>
      <c r="C33" s="2">
        <v>-15</v>
      </c>
      <c r="D33" s="2"/>
      <c r="E33" s="5"/>
      <c r="F33" s="5"/>
      <c r="G33" s="5">
        <v>5</v>
      </c>
      <c r="H33" s="5">
        <v>2.11</v>
      </c>
      <c r="I33" s="5"/>
      <c r="J33" s="5"/>
      <c r="K33" s="5">
        <f>G33/H33</f>
        <v>2.3696682464454977</v>
      </c>
      <c r="L33" s="17"/>
      <c r="M33" s="6">
        <v>55</v>
      </c>
      <c r="N33" s="13"/>
      <c r="O33" s="13">
        <v>-15</v>
      </c>
      <c r="P33" s="13"/>
      <c r="Q33" s="5"/>
      <c r="R33" s="5"/>
      <c r="S33" s="5">
        <v>4.3</v>
      </c>
      <c r="T33" s="5">
        <v>2.61</v>
      </c>
      <c r="U33" s="5"/>
      <c r="V33" s="5"/>
      <c r="W33" s="5">
        <f>S33/T33</f>
        <v>1.6475095785440612</v>
      </c>
      <c r="X33" s="19"/>
      <c r="Y33" s="17"/>
      <c r="Z33" s="5"/>
      <c r="AA33" s="5"/>
      <c r="AB33" s="5"/>
      <c r="AC33" s="5"/>
      <c r="AD33" s="13"/>
      <c r="AE33" s="13" t="s">
        <v>38</v>
      </c>
      <c r="AF33" s="7">
        <v>6.69</v>
      </c>
      <c r="AG33" s="7">
        <v>1.76</v>
      </c>
      <c r="AH33" s="7">
        <f t="shared" ref="AH33:AH34" si="1">AF33/AG33</f>
        <v>3.8011363636363638</v>
      </c>
    </row>
    <row r="34" spans="1:34" x14ac:dyDescent="0.4">
      <c r="A34" s="3"/>
      <c r="C34" s="2">
        <v>-10</v>
      </c>
      <c r="D34" s="2"/>
      <c r="E34" s="5"/>
      <c r="F34" s="5"/>
      <c r="G34" s="5"/>
      <c r="H34" s="5"/>
      <c r="I34" s="5"/>
      <c r="J34" s="5"/>
      <c r="K34" s="5"/>
      <c r="L34" s="17"/>
      <c r="M34" s="6">
        <v>60</v>
      </c>
      <c r="N34" s="13"/>
      <c r="O34" s="13">
        <v>-10</v>
      </c>
      <c r="P34" s="13"/>
      <c r="Q34" s="5"/>
      <c r="R34" s="5"/>
      <c r="S34" s="5"/>
      <c r="T34" s="5"/>
      <c r="U34" s="5"/>
      <c r="V34" s="5"/>
      <c r="W34" s="5"/>
      <c r="X34" s="19"/>
      <c r="Y34" s="17" t="s">
        <v>39</v>
      </c>
      <c r="Z34" s="5">
        <v>5</v>
      </c>
      <c r="AA34" s="5">
        <v>2.5</v>
      </c>
      <c r="AB34" s="5">
        <v>5</v>
      </c>
      <c r="AC34" s="5">
        <v>1.98</v>
      </c>
      <c r="AD34" s="13"/>
      <c r="AE34" s="13" t="s">
        <v>40</v>
      </c>
      <c r="AF34" s="7">
        <v>5</v>
      </c>
      <c r="AG34" s="7">
        <v>1.02</v>
      </c>
      <c r="AH34" s="7">
        <f t="shared" si="1"/>
        <v>4.9019607843137258</v>
      </c>
    </row>
    <row r="35" spans="1:34" x14ac:dyDescent="0.4">
      <c r="A35" s="3"/>
      <c r="C35" s="2">
        <v>-7</v>
      </c>
      <c r="D35" s="2"/>
      <c r="E35" s="5"/>
      <c r="F35" s="5"/>
      <c r="G35" s="5">
        <v>5</v>
      </c>
      <c r="H35" s="5">
        <v>1.79</v>
      </c>
      <c r="I35" s="5"/>
      <c r="J35" s="5"/>
      <c r="K35" s="5">
        <f>G35/H35</f>
        <v>2.7932960893854748</v>
      </c>
      <c r="L35" s="17"/>
      <c r="M35" s="6">
        <v>60</v>
      </c>
      <c r="N35" s="13"/>
      <c r="O35" s="13">
        <v>-7</v>
      </c>
      <c r="P35" s="13"/>
      <c r="Q35" s="5"/>
      <c r="R35" s="5"/>
      <c r="S35" s="5">
        <v>5</v>
      </c>
      <c r="T35" s="5">
        <v>2.65</v>
      </c>
      <c r="U35" s="5"/>
      <c r="V35" s="5"/>
      <c r="W35" s="5">
        <f>S35/T35</f>
        <v>1.8867924528301887</v>
      </c>
      <c r="X35" s="19"/>
      <c r="Y35" s="5">
        <f>AA35*(1.029-(0.05*Z35/G37))</f>
        <v>2.7185999999999995</v>
      </c>
      <c r="Z35" s="5">
        <v>4.4000000000000004</v>
      </c>
      <c r="AA35" s="5">
        <v>2.76</v>
      </c>
      <c r="AB35" s="5">
        <v>4.5</v>
      </c>
      <c r="AC35" s="5">
        <v>2.2999999999999998</v>
      </c>
      <c r="AD35" s="13"/>
      <c r="AE35" s="13"/>
      <c r="AF35" s="19"/>
      <c r="AG35" s="19"/>
      <c r="AH35" s="20"/>
    </row>
    <row r="36" spans="1:34" x14ac:dyDescent="0.4">
      <c r="A36" s="3"/>
      <c r="C36" s="2">
        <v>2</v>
      </c>
      <c r="D36" s="2"/>
      <c r="E36" s="5"/>
      <c r="F36" s="5"/>
      <c r="G36" s="5">
        <v>5</v>
      </c>
      <c r="H36" s="5">
        <v>1.4</v>
      </c>
      <c r="I36" s="5"/>
      <c r="J36" s="5"/>
      <c r="K36" s="5">
        <f>G36/H36</f>
        <v>3.5714285714285716</v>
      </c>
      <c r="L36" s="17"/>
      <c r="M36" s="6">
        <v>60</v>
      </c>
      <c r="N36" s="13"/>
      <c r="O36" s="13">
        <v>2</v>
      </c>
      <c r="P36" s="13"/>
      <c r="Q36" s="5"/>
      <c r="R36" s="5"/>
      <c r="S36" s="5">
        <v>5</v>
      </c>
      <c r="T36" s="5">
        <v>2.1800000000000002</v>
      </c>
      <c r="U36" s="5"/>
      <c r="V36" s="5"/>
      <c r="W36" s="5">
        <f>S36/T36</f>
        <v>2.2935779816513762</v>
      </c>
      <c r="X36" s="19"/>
      <c r="Y36" s="5">
        <f>AA36*(0.906-(0.044*Z36/G37))</f>
        <v>4.8041728000000008</v>
      </c>
      <c r="Z36" s="5">
        <v>2.6</v>
      </c>
      <c r="AA36" s="5">
        <v>5.44</v>
      </c>
      <c r="AB36" s="5">
        <v>2.7</v>
      </c>
      <c r="AC36" s="5">
        <v>3.58</v>
      </c>
      <c r="AD36" s="13"/>
      <c r="AE36" s="13"/>
      <c r="AF36" s="19"/>
      <c r="AG36" s="19"/>
      <c r="AH36" s="20"/>
    </row>
    <row r="37" spans="1:34" x14ac:dyDescent="0.4">
      <c r="A37" s="3"/>
      <c r="C37" s="2">
        <v>7</v>
      </c>
      <c r="D37" s="2"/>
      <c r="E37" s="5"/>
      <c r="F37" s="5"/>
      <c r="G37" s="5">
        <v>5</v>
      </c>
      <c r="H37" s="5">
        <v>0.98</v>
      </c>
      <c r="I37" s="5"/>
      <c r="J37" s="5"/>
      <c r="K37" s="5">
        <f>G37/H37</f>
        <v>5.1020408163265305</v>
      </c>
      <c r="L37" s="17"/>
      <c r="M37" s="6">
        <v>60</v>
      </c>
      <c r="N37" s="13"/>
      <c r="O37" s="13">
        <v>7</v>
      </c>
      <c r="P37" s="13"/>
      <c r="Q37" s="5"/>
      <c r="R37" s="5"/>
      <c r="S37" s="5">
        <v>5</v>
      </c>
      <c r="T37" s="5">
        <v>1.65</v>
      </c>
      <c r="U37" s="5"/>
      <c r="V37" s="5"/>
      <c r="W37" s="5">
        <f>S37/T37</f>
        <v>3.0303030303030303</v>
      </c>
      <c r="X37" s="19"/>
      <c r="Y37" s="5">
        <f>K37</f>
        <v>5.1020408163265305</v>
      </c>
      <c r="Z37" s="5">
        <v>3</v>
      </c>
      <c r="AA37" s="5">
        <v>7.15</v>
      </c>
      <c r="AB37" s="5">
        <v>2.8</v>
      </c>
      <c r="AC37" s="5">
        <v>4.8899999999999997</v>
      </c>
      <c r="AD37" s="13"/>
      <c r="AE37" s="13"/>
      <c r="AF37" s="19"/>
      <c r="AG37" s="19"/>
      <c r="AH37" s="20"/>
    </row>
    <row r="38" spans="1:34" x14ac:dyDescent="0.4">
      <c r="A38" s="3"/>
      <c r="C38" s="2">
        <v>12</v>
      </c>
      <c r="D38" s="2"/>
      <c r="E38" s="5"/>
      <c r="F38" s="5"/>
      <c r="G38" s="5"/>
      <c r="H38" s="5"/>
      <c r="I38" s="5"/>
      <c r="J38" s="5"/>
      <c r="K38" s="5"/>
      <c r="L38" s="17"/>
      <c r="M38" s="6">
        <v>60</v>
      </c>
      <c r="N38" s="13"/>
      <c r="O38" s="13">
        <v>12</v>
      </c>
      <c r="P38" s="13"/>
      <c r="Q38" s="5"/>
      <c r="R38" s="5"/>
      <c r="S38" s="5"/>
      <c r="T38" s="5"/>
      <c r="U38" s="5"/>
      <c r="V38" s="5"/>
      <c r="W38" s="5"/>
      <c r="X38" s="19"/>
      <c r="Y38" s="17"/>
      <c r="Z38" s="5">
        <v>3.5</v>
      </c>
      <c r="AA38" s="5">
        <v>9.5500000000000007</v>
      </c>
      <c r="AB38" s="5">
        <v>3.4</v>
      </c>
      <c r="AC38" s="5">
        <v>6.92</v>
      </c>
      <c r="AD38" s="13"/>
      <c r="AE38" s="13"/>
      <c r="AF38" s="19"/>
      <c r="AG38" s="19"/>
      <c r="AH38" s="20"/>
    </row>
    <row r="39" spans="1:34" x14ac:dyDescent="0.4">
      <c r="A39" s="8"/>
      <c r="B39" s="8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4"/>
      <c r="O39" s="14"/>
      <c r="P39" s="14"/>
      <c r="Q39" s="18"/>
      <c r="R39" s="18"/>
      <c r="S39" s="18"/>
      <c r="T39" s="18"/>
      <c r="U39" s="18"/>
      <c r="V39" s="18"/>
      <c r="W39" s="18"/>
      <c r="X39" s="18"/>
      <c r="Y39" s="22"/>
      <c r="Z39" s="22"/>
      <c r="AA39" s="22"/>
      <c r="AB39" s="22"/>
      <c r="AC39" s="22"/>
      <c r="AD39" s="14"/>
      <c r="AE39" s="14"/>
      <c r="AF39" s="18"/>
      <c r="AG39" s="18"/>
      <c r="AH39" s="18"/>
    </row>
    <row r="40" spans="1:34" x14ac:dyDescent="0.4">
      <c r="A40" s="3" t="s">
        <v>59</v>
      </c>
      <c r="B40" s="1" t="s">
        <v>13</v>
      </c>
      <c r="C40" s="4">
        <v>-25</v>
      </c>
      <c r="D40" s="2"/>
      <c r="E40" s="5"/>
      <c r="F40" s="5"/>
      <c r="G40" s="5"/>
      <c r="H40" s="5"/>
      <c r="I40" s="5"/>
      <c r="J40" s="5"/>
      <c r="K40" s="5"/>
      <c r="L40" s="17"/>
      <c r="M40" s="6">
        <v>55</v>
      </c>
      <c r="N40" s="13"/>
      <c r="O40" s="4">
        <v>-25</v>
      </c>
      <c r="P40" s="13"/>
      <c r="Q40" s="5"/>
      <c r="R40" s="5"/>
      <c r="S40" s="5"/>
      <c r="T40" s="5"/>
      <c r="U40" s="5"/>
      <c r="V40" s="5"/>
      <c r="W40" s="5"/>
      <c r="X40" s="4">
        <v>3</v>
      </c>
      <c r="Y40" s="17"/>
      <c r="Z40" s="5"/>
      <c r="AA40" s="5"/>
      <c r="AB40" s="5"/>
      <c r="AC40" s="5"/>
      <c r="AD40" s="13"/>
      <c r="AE40" s="13" t="s">
        <v>37</v>
      </c>
      <c r="AF40" s="7">
        <v>6.7</v>
      </c>
      <c r="AG40" s="7">
        <v>2.21</v>
      </c>
      <c r="AH40" s="7">
        <f>AF40/AG40</f>
        <v>3.0316742081447967</v>
      </c>
    </row>
    <row r="41" spans="1:34" x14ac:dyDescent="0.4">
      <c r="A41" s="3"/>
      <c r="C41" s="13">
        <v>-20</v>
      </c>
      <c r="D41" s="2"/>
      <c r="E41" s="5"/>
      <c r="F41" s="5"/>
      <c r="G41" s="5">
        <v>4.45</v>
      </c>
      <c r="H41" s="5">
        <v>2.12</v>
      </c>
      <c r="I41" s="5"/>
      <c r="J41" s="5"/>
      <c r="K41" s="5">
        <f>G41/H41</f>
        <v>2.0990566037735849</v>
      </c>
      <c r="L41" s="17"/>
      <c r="M41" s="6">
        <v>55</v>
      </c>
      <c r="N41" s="13"/>
      <c r="O41" s="13">
        <v>-20</v>
      </c>
      <c r="P41" s="13"/>
      <c r="Q41" s="5"/>
      <c r="R41" s="5"/>
      <c r="S41" s="5">
        <v>3.9</v>
      </c>
      <c r="T41" s="5">
        <v>2.85</v>
      </c>
      <c r="U41" s="5"/>
      <c r="V41" s="5"/>
      <c r="W41" s="5">
        <f>S41/T41</f>
        <v>1.368421052631579</v>
      </c>
      <c r="X41" s="19"/>
      <c r="Y41" s="17"/>
      <c r="Z41" s="5"/>
      <c r="AA41" s="5"/>
      <c r="AB41" s="5"/>
      <c r="AC41" s="5"/>
      <c r="AD41" s="13"/>
      <c r="AE41" s="13"/>
      <c r="AF41" s="7"/>
      <c r="AG41" s="7"/>
      <c r="AH41" s="7"/>
    </row>
    <row r="42" spans="1:34" x14ac:dyDescent="0.4">
      <c r="A42" s="3"/>
      <c r="C42" s="2">
        <v>-15</v>
      </c>
      <c r="D42" s="2"/>
      <c r="E42" s="5"/>
      <c r="F42" s="5"/>
      <c r="G42" s="5">
        <v>5.6</v>
      </c>
      <c r="H42" s="5">
        <v>2.38</v>
      </c>
      <c r="I42" s="5"/>
      <c r="J42" s="5"/>
      <c r="K42" s="5">
        <f>G42/H42</f>
        <v>2.3529411764705883</v>
      </c>
      <c r="L42" s="17"/>
      <c r="M42" s="6">
        <v>55</v>
      </c>
      <c r="N42" s="13"/>
      <c r="O42" s="13">
        <v>-15</v>
      </c>
      <c r="P42" s="13"/>
      <c r="Q42" s="5"/>
      <c r="R42" s="5"/>
      <c r="S42" s="5">
        <v>5</v>
      </c>
      <c r="T42" s="5">
        <v>3.2</v>
      </c>
      <c r="U42" s="5"/>
      <c r="V42" s="5"/>
      <c r="W42" s="5">
        <f>S42/T42</f>
        <v>1.5625</v>
      </c>
      <c r="X42" s="19"/>
      <c r="Y42" s="17"/>
      <c r="Z42" s="5"/>
      <c r="AA42" s="5"/>
      <c r="AB42" s="5"/>
      <c r="AC42" s="5"/>
      <c r="AD42" s="13"/>
      <c r="AE42" s="13" t="s">
        <v>38</v>
      </c>
      <c r="AF42" s="7">
        <v>8.19</v>
      </c>
      <c r="AG42" s="7">
        <v>2.42</v>
      </c>
      <c r="AH42" s="7">
        <f t="shared" ref="AH42:AH43" si="2">AF42/AG42</f>
        <v>3.384297520661157</v>
      </c>
    </row>
    <row r="43" spans="1:34" x14ac:dyDescent="0.4">
      <c r="A43" s="3"/>
      <c r="C43" s="2">
        <v>-10</v>
      </c>
      <c r="D43" s="2"/>
      <c r="E43" s="5"/>
      <c r="F43" s="5"/>
      <c r="G43" s="5"/>
      <c r="H43" s="5"/>
      <c r="I43" s="5"/>
      <c r="J43" s="5"/>
      <c r="K43" s="5"/>
      <c r="L43" s="17"/>
      <c r="M43" s="6">
        <v>60</v>
      </c>
      <c r="N43" s="13"/>
      <c r="O43" s="13">
        <v>-10</v>
      </c>
      <c r="P43" s="13"/>
      <c r="Q43" s="5"/>
      <c r="R43" s="5"/>
      <c r="S43" s="5"/>
      <c r="T43" s="5"/>
      <c r="U43" s="5"/>
      <c r="V43" s="5"/>
      <c r="W43" s="5"/>
      <c r="X43" s="19"/>
      <c r="Y43" s="17" t="s">
        <v>39</v>
      </c>
      <c r="Z43" s="5">
        <v>7</v>
      </c>
      <c r="AA43" s="5">
        <v>2.6</v>
      </c>
      <c r="AB43" s="5">
        <v>6.2</v>
      </c>
      <c r="AC43" s="5">
        <v>1.84</v>
      </c>
      <c r="AD43" s="13"/>
      <c r="AE43" s="13" t="s">
        <v>40</v>
      </c>
      <c r="AF43" s="7">
        <v>6.7</v>
      </c>
      <c r="AG43" s="7">
        <v>1.42</v>
      </c>
      <c r="AH43" s="7">
        <f t="shared" si="2"/>
        <v>4.71830985915493</v>
      </c>
    </row>
    <row r="44" spans="1:34" x14ac:dyDescent="0.4">
      <c r="A44" s="3"/>
      <c r="C44" s="2">
        <v>-7</v>
      </c>
      <c r="D44" s="2"/>
      <c r="E44" s="5"/>
      <c r="F44" s="5"/>
      <c r="G44" s="5">
        <v>5.75</v>
      </c>
      <c r="H44" s="5">
        <v>1.95</v>
      </c>
      <c r="I44" s="5"/>
      <c r="J44" s="5"/>
      <c r="K44" s="5">
        <f>G44/H44</f>
        <v>2.9487179487179489</v>
      </c>
      <c r="L44" s="17"/>
      <c r="M44" s="6">
        <v>60</v>
      </c>
      <c r="N44" s="13"/>
      <c r="O44" s="13">
        <v>-7</v>
      </c>
      <c r="P44" s="13"/>
      <c r="Q44" s="5"/>
      <c r="R44" s="5"/>
      <c r="S44" s="5">
        <v>5.35</v>
      </c>
      <c r="T44" s="5">
        <v>2.7</v>
      </c>
      <c r="U44" s="5"/>
      <c r="V44" s="5"/>
      <c r="W44" s="5">
        <f>S44/T44</f>
        <v>1.9814814814814812</v>
      </c>
      <c r="X44" s="19"/>
      <c r="Y44" s="5">
        <f>AA44</f>
        <v>2.8</v>
      </c>
      <c r="Z44" s="5">
        <v>6.3</v>
      </c>
      <c r="AA44" s="5">
        <v>2.8</v>
      </c>
      <c r="AB44" s="5">
        <v>6.2</v>
      </c>
      <c r="AC44" s="5">
        <v>2.1800000000000002</v>
      </c>
      <c r="AD44" s="13"/>
      <c r="AE44" s="13"/>
      <c r="AF44" s="19"/>
      <c r="AG44" s="19"/>
      <c r="AH44" s="20"/>
    </row>
    <row r="45" spans="1:34" x14ac:dyDescent="0.4">
      <c r="A45" s="3"/>
      <c r="C45" s="2">
        <v>2</v>
      </c>
      <c r="D45" s="2"/>
      <c r="E45" s="5"/>
      <c r="F45" s="5"/>
      <c r="G45" s="5">
        <v>6.85</v>
      </c>
      <c r="H45" s="5">
        <v>2</v>
      </c>
      <c r="I45" s="5"/>
      <c r="J45" s="5"/>
      <c r="K45" s="5">
        <f>G45/H45</f>
        <v>3.4249999999999998</v>
      </c>
      <c r="L45" s="17"/>
      <c r="M45" s="6">
        <v>60</v>
      </c>
      <c r="N45" s="13"/>
      <c r="O45" s="13">
        <v>2</v>
      </c>
      <c r="P45" s="13"/>
      <c r="Q45" s="5"/>
      <c r="R45" s="5"/>
      <c r="S45" s="5">
        <v>6.25</v>
      </c>
      <c r="T45" s="5">
        <v>2.8</v>
      </c>
      <c r="U45" s="5"/>
      <c r="V45" s="5"/>
      <c r="W45" s="5">
        <f>S45/T45</f>
        <v>2.2321428571428572</v>
      </c>
      <c r="X45" s="19"/>
      <c r="Y45" s="5">
        <f t="shared" ref="Y45:Y46" si="3">AA45</f>
        <v>5.03</v>
      </c>
      <c r="Z45" s="5">
        <v>3.8</v>
      </c>
      <c r="AA45" s="5">
        <v>5.03</v>
      </c>
      <c r="AB45" s="5">
        <v>3.8</v>
      </c>
      <c r="AC45" s="5">
        <v>3.69</v>
      </c>
      <c r="AD45" s="13"/>
      <c r="AE45" s="13"/>
      <c r="AF45" s="19"/>
      <c r="AG45" s="19"/>
      <c r="AH45" s="20"/>
    </row>
    <row r="46" spans="1:34" x14ac:dyDescent="0.4">
      <c r="A46" s="3"/>
      <c r="C46" s="2">
        <v>7</v>
      </c>
      <c r="D46" s="2"/>
      <c r="E46" s="5"/>
      <c r="F46" s="5"/>
      <c r="G46" s="5">
        <v>7</v>
      </c>
      <c r="H46" s="5">
        <v>1.44</v>
      </c>
      <c r="I46" s="5"/>
      <c r="J46" s="5"/>
      <c r="K46" s="5">
        <f>G46/H46</f>
        <v>4.8611111111111116</v>
      </c>
      <c r="L46" s="17"/>
      <c r="M46" s="6">
        <v>60</v>
      </c>
      <c r="N46" s="13"/>
      <c r="O46" s="13">
        <v>7</v>
      </c>
      <c r="P46" s="13"/>
      <c r="Q46" s="5"/>
      <c r="R46" s="5"/>
      <c r="S46" s="5">
        <v>7</v>
      </c>
      <c r="T46" s="5">
        <v>2.4</v>
      </c>
      <c r="U46" s="5"/>
      <c r="V46" s="5"/>
      <c r="W46" s="5">
        <f>S46/T46</f>
        <v>2.916666666666667</v>
      </c>
      <c r="X46" s="19"/>
      <c r="Y46" s="5">
        <f t="shared" si="3"/>
        <v>6.56</v>
      </c>
      <c r="Z46" s="5">
        <v>3</v>
      </c>
      <c r="AA46" s="5">
        <v>6.56</v>
      </c>
      <c r="AB46" s="5">
        <v>2.5</v>
      </c>
      <c r="AC46" s="5">
        <v>4.5</v>
      </c>
      <c r="AD46" s="13"/>
      <c r="AE46" s="13"/>
      <c r="AF46" s="19"/>
      <c r="AG46" s="19"/>
      <c r="AH46" s="20"/>
    </row>
    <row r="47" spans="1:34" x14ac:dyDescent="0.4">
      <c r="A47" s="3"/>
      <c r="C47" s="2">
        <v>12</v>
      </c>
      <c r="D47" s="2"/>
      <c r="E47" s="5"/>
      <c r="F47" s="5"/>
      <c r="G47" s="5"/>
      <c r="H47" s="5"/>
      <c r="I47" s="5"/>
      <c r="J47" s="5"/>
      <c r="K47" s="5"/>
      <c r="L47" s="17"/>
      <c r="M47" s="6">
        <v>60</v>
      </c>
      <c r="N47" s="13"/>
      <c r="O47" s="13">
        <v>12</v>
      </c>
      <c r="P47" s="13"/>
      <c r="Q47" s="5"/>
      <c r="R47" s="5"/>
      <c r="S47" s="5"/>
      <c r="T47" s="5"/>
      <c r="U47" s="5"/>
      <c r="V47" s="5"/>
      <c r="W47" s="5"/>
      <c r="X47" s="19"/>
      <c r="Y47" s="17"/>
      <c r="Z47" s="5">
        <v>3.4</v>
      </c>
      <c r="AA47" s="5">
        <v>8.4700000000000006</v>
      </c>
      <c r="AB47" s="5">
        <v>3.1</v>
      </c>
      <c r="AC47" s="5">
        <v>6.55</v>
      </c>
      <c r="AD47" s="13"/>
      <c r="AE47" s="13"/>
      <c r="AF47" s="19"/>
      <c r="AG47" s="19"/>
      <c r="AH47" s="20"/>
    </row>
    <row r="48" spans="1:34" x14ac:dyDescent="0.4">
      <c r="A48" s="8"/>
      <c r="B48" s="8"/>
      <c r="C48" s="9"/>
      <c r="D48" s="9"/>
      <c r="E48" s="18"/>
      <c r="F48" s="18"/>
      <c r="G48" s="18"/>
      <c r="H48" s="18"/>
      <c r="I48" s="18"/>
      <c r="J48" s="18"/>
      <c r="K48" s="18"/>
      <c r="L48" s="18"/>
      <c r="M48" s="18"/>
      <c r="N48" s="14"/>
      <c r="O48" s="14"/>
      <c r="P48" s="14"/>
      <c r="Q48" s="18"/>
      <c r="R48" s="18"/>
      <c r="S48" s="18"/>
      <c r="T48" s="18"/>
      <c r="U48" s="18"/>
      <c r="V48" s="18"/>
      <c r="W48" s="18"/>
      <c r="X48" s="18"/>
      <c r="Y48" s="22"/>
      <c r="Z48" s="22"/>
      <c r="AA48" s="22"/>
      <c r="AB48" s="22"/>
      <c r="AC48" s="22"/>
      <c r="AD48" s="14"/>
      <c r="AE48" s="14"/>
      <c r="AF48" s="18"/>
      <c r="AG48" s="18"/>
      <c r="AH48" s="18"/>
    </row>
    <row r="49" spans="1:34" x14ac:dyDescent="0.4">
      <c r="A49" s="3" t="s">
        <v>58</v>
      </c>
      <c r="B49" s="1" t="s">
        <v>13</v>
      </c>
      <c r="C49" s="4">
        <v>-25</v>
      </c>
      <c r="D49" s="2"/>
      <c r="E49" s="5"/>
      <c r="F49" s="5"/>
      <c r="G49" s="5"/>
      <c r="H49" s="5"/>
      <c r="I49" s="5"/>
      <c r="J49" s="5"/>
      <c r="K49" s="5"/>
      <c r="L49" s="17"/>
      <c r="M49" s="6">
        <v>55</v>
      </c>
      <c r="N49" s="13"/>
      <c r="O49" s="4">
        <v>-25</v>
      </c>
      <c r="P49" s="13"/>
      <c r="Q49" s="5"/>
      <c r="R49" s="5"/>
      <c r="S49" s="5"/>
      <c r="T49" s="5"/>
      <c r="U49" s="5"/>
      <c r="V49" s="5"/>
      <c r="W49" s="5"/>
      <c r="X49" s="4">
        <v>6</v>
      </c>
      <c r="Y49" s="17"/>
      <c r="Z49" s="5"/>
      <c r="AA49" s="5"/>
      <c r="AB49" s="5"/>
      <c r="AC49" s="5"/>
      <c r="AD49" s="13"/>
      <c r="AE49" s="13" t="s">
        <v>37</v>
      </c>
      <c r="AF49" s="7">
        <v>6.7</v>
      </c>
      <c r="AG49" s="7">
        <v>2.21</v>
      </c>
      <c r="AH49" s="7">
        <f>AF49/AG49</f>
        <v>3.0316742081447967</v>
      </c>
    </row>
    <row r="50" spans="1:34" x14ac:dyDescent="0.4">
      <c r="A50" s="3"/>
      <c r="C50" s="13">
        <v>-20</v>
      </c>
      <c r="D50" s="2"/>
      <c r="E50" s="5"/>
      <c r="F50" s="5"/>
      <c r="G50" s="5">
        <v>4.45</v>
      </c>
      <c r="H50" s="5">
        <v>2.12</v>
      </c>
      <c r="I50" s="5"/>
      <c r="J50" s="5"/>
      <c r="K50" s="5">
        <f>G50/H50</f>
        <v>2.0990566037735849</v>
      </c>
      <c r="L50" s="17"/>
      <c r="M50" s="6">
        <v>55</v>
      </c>
      <c r="N50" s="13"/>
      <c r="O50" s="13">
        <v>-20</v>
      </c>
      <c r="P50" s="13"/>
      <c r="Q50" s="5"/>
      <c r="R50" s="5"/>
      <c r="S50" s="5">
        <v>3.9</v>
      </c>
      <c r="T50" s="5">
        <v>2.85</v>
      </c>
      <c r="U50" s="5"/>
      <c r="V50" s="5"/>
      <c r="W50" s="5">
        <f>S50/T50</f>
        <v>1.368421052631579</v>
      </c>
      <c r="X50" s="19"/>
      <c r="Y50" s="17"/>
      <c r="Z50" s="5"/>
      <c r="AA50" s="5"/>
      <c r="AB50" s="5"/>
      <c r="AC50" s="5"/>
      <c r="AD50" s="13"/>
      <c r="AE50" s="13"/>
      <c r="AF50" s="7"/>
      <c r="AG50" s="7"/>
      <c r="AH50" s="7"/>
    </row>
    <row r="51" spans="1:34" x14ac:dyDescent="0.4">
      <c r="A51" s="3"/>
      <c r="C51" s="2">
        <v>-15</v>
      </c>
      <c r="D51" s="2"/>
      <c r="E51" s="5"/>
      <c r="F51" s="5"/>
      <c r="G51" s="5">
        <v>5.6</v>
      </c>
      <c r="H51" s="5">
        <v>2.38</v>
      </c>
      <c r="I51" s="5"/>
      <c r="J51" s="5"/>
      <c r="K51" s="5">
        <f>G51/H51</f>
        <v>2.3529411764705883</v>
      </c>
      <c r="L51" s="17"/>
      <c r="M51" s="6">
        <v>55</v>
      </c>
      <c r="N51" s="13"/>
      <c r="O51" s="13">
        <v>-15</v>
      </c>
      <c r="P51" s="13"/>
      <c r="Q51" s="5"/>
      <c r="R51" s="5"/>
      <c r="S51" s="5">
        <v>5</v>
      </c>
      <c r="T51" s="5">
        <v>3.2</v>
      </c>
      <c r="U51" s="5"/>
      <c r="V51" s="5"/>
      <c r="W51" s="5">
        <f>S51/T51</f>
        <v>1.5625</v>
      </c>
      <c r="X51" s="19"/>
      <c r="Y51" s="17"/>
      <c r="Z51" s="5"/>
      <c r="AA51" s="5"/>
      <c r="AB51" s="5"/>
      <c r="AC51" s="5"/>
      <c r="AD51" s="13"/>
      <c r="AE51" s="13" t="s">
        <v>38</v>
      </c>
      <c r="AF51" s="7">
        <v>8.19</v>
      </c>
      <c r="AG51" s="7">
        <v>2.42</v>
      </c>
      <c r="AH51" s="7">
        <f t="shared" ref="AH51:AH52" si="4">AF51/AG51</f>
        <v>3.384297520661157</v>
      </c>
    </row>
    <row r="52" spans="1:34" x14ac:dyDescent="0.4">
      <c r="A52" s="3"/>
      <c r="C52" s="2">
        <v>-10</v>
      </c>
      <c r="D52" s="2"/>
      <c r="E52" s="5"/>
      <c r="F52" s="5"/>
      <c r="G52" s="5"/>
      <c r="H52" s="5"/>
      <c r="I52" s="5"/>
      <c r="J52" s="5"/>
      <c r="K52" s="5"/>
      <c r="L52" s="17"/>
      <c r="M52" s="6">
        <v>60</v>
      </c>
      <c r="N52" s="13"/>
      <c r="O52" s="13">
        <v>-10</v>
      </c>
      <c r="P52" s="13"/>
      <c r="Q52" s="5"/>
      <c r="R52" s="5"/>
      <c r="S52" s="5"/>
      <c r="T52" s="5"/>
      <c r="U52" s="5"/>
      <c r="V52" s="5"/>
      <c r="W52" s="5"/>
      <c r="X52" s="19"/>
      <c r="Y52" s="17" t="s">
        <v>39</v>
      </c>
      <c r="Z52" s="5">
        <v>7</v>
      </c>
      <c r="AA52" s="5">
        <v>2.6</v>
      </c>
      <c r="AB52" s="5">
        <v>6.2</v>
      </c>
      <c r="AC52" s="5">
        <v>1.84</v>
      </c>
      <c r="AD52" s="13"/>
      <c r="AE52" s="13" t="s">
        <v>40</v>
      </c>
      <c r="AF52" s="7">
        <v>6.7</v>
      </c>
      <c r="AG52" s="7">
        <v>1.42</v>
      </c>
      <c r="AH52" s="7">
        <f t="shared" si="4"/>
        <v>4.71830985915493</v>
      </c>
    </row>
    <row r="53" spans="1:34" x14ac:dyDescent="0.4">
      <c r="A53" s="3"/>
      <c r="C53" s="2">
        <v>-7</v>
      </c>
      <c r="D53" s="2"/>
      <c r="E53" s="5"/>
      <c r="F53" s="5"/>
      <c r="G53" s="5">
        <v>5.75</v>
      </c>
      <c r="H53" s="5">
        <v>1.95</v>
      </c>
      <c r="I53" s="5"/>
      <c r="J53" s="5"/>
      <c r="K53" s="5">
        <f>G53/H53</f>
        <v>2.9487179487179489</v>
      </c>
      <c r="L53" s="17"/>
      <c r="M53" s="6">
        <v>60</v>
      </c>
      <c r="N53" s="13"/>
      <c r="O53" s="13">
        <v>-7</v>
      </c>
      <c r="P53" s="13"/>
      <c r="Q53" s="5"/>
      <c r="R53" s="5"/>
      <c r="S53" s="5">
        <v>5.35</v>
      </c>
      <c r="T53" s="5">
        <v>2.7</v>
      </c>
      <c r="U53" s="5"/>
      <c r="V53" s="5"/>
      <c r="W53" s="5">
        <f>S53/T53</f>
        <v>1.9814814814814812</v>
      </c>
      <c r="X53" s="19"/>
      <c r="Y53" s="5">
        <f>AA53*(1.029-(0.05*Z53/G55))</f>
        <v>2.7551999999999994</v>
      </c>
      <c r="Z53" s="5">
        <v>6.3</v>
      </c>
      <c r="AA53" s="5">
        <v>2.8</v>
      </c>
      <c r="AB53" s="5">
        <v>6.2</v>
      </c>
      <c r="AC53" s="5">
        <v>2.1800000000000002</v>
      </c>
      <c r="AD53" s="13"/>
      <c r="AE53" s="13"/>
      <c r="AF53" s="19"/>
      <c r="AG53" s="19"/>
      <c r="AH53" s="20"/>
    </row>
    <row r="54" spans="1:34" x14ac:dyDescent="0.4">
      <c r="A54" s="3"/>
      <c r="C54" s="2">
        <v>2</v>
      </c>
      <c r="D54" s="2"/>
      <c r="E54" s="5"/>
      <c r="F54" s="5"/>
      <c r="G54" s="5">
        <v>6.85</v>
      </c>
      <c r="H54" s="5">
        <v>2</v>
      </c>
      <c r="I54" s="5"/>
      <c r="J54" s="5"/>
      <c r="K54" s="5">
        <f>G54/H54</f>
        <v>3.4249999999999998</v>
      </c>
      <c r="L54" s="17"/>
      <c r="M54" s="6">
        <v>60</v>
      </c>
      <c r="N54" s="13"/>
      <c r="O54" s="13">
        <v>2</v>
      </c>
      <c r="P54" s="13"/>
      <c r="Q54" s="5"/>
      <c r="R54" s="5"/>
      <c r="S54" s="5">
        <v>6.25</v>
      </c>
      <c r="T54" s="5">
        <v>2.8</v>
      </c>
      <c r="U54" s="5"/>
      <c r="V54" s="5"/>
      <c r="W54" s="5">
        <f>S54/T54</f>
        <v>2.2321428571428572</v>
      </c>
      <c r="X54" s="19"/>
      <c r="Y54" s="5">
        <f>AA54*(0.906-(0.044*Z54/G55))</f>
        <v>4.4370348571428577</v>
      </c>
      <c r="Z54" s="5">
        <v>3.8</v>
      </c>
      <c r="AA54" s="5">
        <v>5.03</v>
      </c>
      <c r="AB54" s="5">
        <v>3.8</v>
      </c>
      <c r="AC54" s="5">
        <v>3.69</v>
      </c>
      <c r="AD54" s="13"/>
      <c r="AE54" s="13"/>
      <c r="AF54" s="19"/>
      <c r="AG54" s="19"/>
      <c r="AH54" s="20"/>
    </row>
    <row r="55" spans="1:34" x14ac:dyDescent="0.4">
      <c r="A55" s="3"/>
      <c r="C55" s="2">
        <v>7</v>
      </c>
      <c r="D55" s="2"/>
      <c r="E55" s="5"/>
      <c r="F55" s="5"/>
      <c r="G55" s="5">
        <v>7</v>
      </c>
      <c r="H55" s="5">
        <v>1.44</v>
      </c>
      <c r="I55" s="5"/>
      <c r="J55" s="5"/>
      <c r="K55" s="5">
        <f>G55/H55</f>
        <v>4.8611111111111116</v>
      </c>
      <c r="L55" s="17"/>
      <c r="M55" s="6">
        <v>60</v>
      </c>
      <c r="N55" s="13"/>
      <c r="O55" s="13">
        <v>7</v>
      </c>
      <c r="P55" s="13"/>
      <c r="Q55" s="5"/>
      <c r="R55" s="5"/>
      <c r="S55" s="5">
        <v>7</v>
      </c>
      <c r="T55" s="5">
        <v>2.4</v>
      </c>
      <c r="U55" s="5"/>
      <c r="V55" s="5"/>
      <c r="W55" s="5">
        <f>S55/T55</f>
        <v>2.916666666666667</v>
      </c>
      <c r="X55" s="19"/>
      <c r="Y55" s="5">
        <f>K55</f>
        <v>4.8611111111111116</v>
      </c>
      <c r="Z55" s="5">
        <v>3</v>
      </c>
      <c r="AA55" s="5">
        <v>6.56</v>
      </c>
      <c r="AB55" s="5">
        <v>2.5</v>
      </c>
      <c r="AC55" s="5">
        <v>4.5</v>
      </c>
      <c r="AD55" s="13"/>
      <c r="AE55" s="13"/>
      <c r="AF55" s="19"/>
      <c r="AG55" s="19"/>
      <c r="AH55" s="20"/>
    </row>
    <row r="56" spans="1:34" x14ac:dyDescent="0.4">
      <c r="A56" s="3"/>
      <c r="C56" s="2">
        <v>12</v>
      </c>
      <c r="D56" s="2"/>
      <c r="E56" s="5"/>
      <c r="F56" s="5"/>
      <c r="G56" s="5"/>
      <c r="H56" s="5"/>
      <c r="I56" s="5"/>
      <c r="J56" s="5"/>
      <c r="K56" s="5"/>
      <c r="L56" s="17"/>
      <c r="M56" s="6">
        <v>60</v>
      </c>
      <c r="N56" s="13"/>
      <c r="O56" s="13">
        <v>12</v>
      </c>
      <c r="P56" s="13"/>
      <c r="Q56" s="5"/>
      <c r="R56" s="5"/>
      <c r="S56" s="5"/>
      <c r="T56" s="5"/>
      <c r="U56" s="5"/>
      <c r="V56" s="5"/>
      <c r="W56" s="5"/>
      <c r="X56" s="19"/>
      <c r="Y56" s="17"/>
      <c r="Z56" s="5">
        <v>3.4</v>
      </c>
      <c r="AA56" s="5">
        <v>8.4700000000000006</v>
      </c>
      <c r="AB56" s="5">
        <v>3.1</v>
      </c>
      <c r="AC56" s="5">
        <v>6.55</v>
      </c>
      <c r="AD56" s="13"/>
      <c r="AE56" s="13"/>
      <c r="AF56" s="19"/>
      <c r="AG56" s="19"/>
      <c r="AH56" s="20"/>
    </row>
    <row r="57" spans="1:34" x14ac:dyDescent="0.4">
      <c r="A57" s="8"/>
      <c r="B57" s="8"/>
      <c r="C57" s="9"/>
      <c r="D57" s="9"/>
      <c r="E57" s="18"/>
      <c r="F57" s="18"/>
      <c r="G57" s="18"/>
      <c r="H57" s="18"/>
      <c r="I57" s="18"/>
      <c r="J57" s="18"/>
      <c r="K57" s="18"/>
      <c r="L57" s="18"/>
      <c r="M57" s="18"/>
      <c r="N57" s="14"/>
      <c r="O57" s="14"/>
      <c r="P57" s="14"/>
      <c r="Q57" s="18"/>
      <c r="R57" s="18"/>
      <c r="S57" s="18"/>
      <c r="T57" s="18"/>
      <c r="U57" s="18"/>
      <c r="V57" s="18"/>
      <c r="W57" s="18"/>
      <c r="X57" s="18"/>
      <c r="Y57" s="22"/>
      <c r="Z57" s="22"/>
      <c r="AA57" s="22"/>
      <c r="AB57" s="22"/>
      <c r="AC57" s="22"/>
      <c r="AD57" s="14"/>
      <c r="AE57" s="14"/>
      <c r="AF57" s="18"/>
      <c r="AG57" s="18"/>
      <c r="AH57" s="18"/>
    </row>
    <row r="58" spans="1:34" x14ac:dyDescent="0.4">
      <c r="A58" s="3" t="s">
        <v>59</v>
      </c>
      <c r="B58" s="1" t="s">
        <v>14</v>
      </c>
      <c r="C58" s="4">
        <v>-25</v>
      </c>
      <c r="D58" s="2"/>
      <c r="E58" s="5"/>
      <c r="F58" s="5"/>
      <c r="G58" s="5"/>
      <c r="H58" s="5"/>
      <c r="I58" s="5"/>
      <c r="J58" s="5"/>
      <c r="K58" s="5"/>
      <c r="L58" s="17"/>
      <c r="M58" s="6">
        <v>55</v>
      </c>
      <c r="N58" s="13"/>
      <c r="O58" s="4">
        <v>-25</v>
      </c>
      <c r="P58" s="13"/>
      <c r="Q58" s="5"/>
      <c r="R58" s="5"/>
      <c r="S58" s="5"/>
      <c r="T58" s="5"/>
      <c r="U58" s="5"/>
      <c r="V58" s="5"/>
      <c r="W58" s="5"/>
      <c r="X58" s="4">
        <v>3</v>
      </c>
      <c r="Y58" s="17"/>
      <c r="Z58" s="5"/>
      <c r="AA58" s="5"/>
      <c r="AB58" s="5"/>
      <c r="AC58" s="5"/>
      <c r="AD58" s="13"/>
      <c r="AE58" s="13" t="s">
        <v>37</v>
      </c>
      <c r="AF58" s="7">
        <v>8.1999999999999993</v>
      </c>
      <c r="AG58" s="7">
        <v>3.02</v>
      </c>
      <c r="AH58" s="7">
        <f>AF58/AG58</f>
        <v>2.7152317880794699</v>
      </c>
    </row>
    <row r="59" spans="1:34" x14ac:dyDescent="0.4">
      <c r="A59" s="3"/>
      <c r="C59" s="13">
        <v>-20</v>
      </c>
      <c r="D59" s="2"/>
      <c r="E59" s="5"/>
      <c r="F59" s="5"/>
      <c r="G59" s="5">
        <v>4.95</v>
      </c>
      <c r="H59" s="5">
        <v>2.4300000000000002</v>
      </c>
      <c r="I59" s="5"/>
      <c r="J59" s="5"/>
      <c r="K59" s="5">
        <f>G59/H59</f>
        <v>2.0370370370370368</v>
      </c>
      <c r="L59" s="17"/>
      <c r="M59" s="6">
        <v>55</v>
      </c>
      <c r="N59" s="13"/>
      <c r="O59" s="13">
        <v>-20</v>
      </c>
      <c r="P59" s="13"/>
      <c r="Q59" s="5"/>
      <c r="R59" s="5"/>
      <c r="S59" s="5">
        <v>4.04</v>
      </c>
      <c r="T59" s="5">
        <v>3</v>
      </c>
      <c r="U59" s="5"/>
      <c r="V59" s="5"/>
      <c r="W59" s="5">
        <f>S59/T59</f>
        <v>1.3466666666666667</v>
      </c>
      <c r="X59" s="19"/>
      <c r="Y59" s="17"/>
      <c r="Z59" s="5"/>
      <c r="AA59" s="5"/>
      <c r="AB59" s="5"/>
      <c r="AC59" s="5"/>
      <c r="AD59" s="13"/>
      <c r="AE59" s="13"/>
      <c r="AF59" s="7"/>
      <c r="AG59" s="7"/>
      <c r="AH59" s="7"/>
    </row>
    <row r="60" spans="1:34" x14ac:dyDescent="0.4">
      <c r="A60" s="3"/>
      <c r="C60" s="2">
        <v>-15</v>
      </c>
      <c r="D60" s="2"/>
      <c r="E60" s="5"/>
      <c r="F60" s="5"/>
      <c r="G60" s="5">
        <v>7.4</v>
      </c>
      <c r="H60" s="5">
        <v>3.2</v>
      </c>
      <c r="I60" s="5"/>
      <c r="J60" s="5"/>
      <c r="K60" s="5">
        <v>2.31</v>
      </c>
      <c r="L60" s="17"/>
      <c r="M60" s="6">
        <v>55</v>
      </c>
      <c r="N60" s="13"/>
      <c r="O60" s="13">
        <v>-15</v>
      </c>
      <c r="P60" s="13"/>
      <c r="Q60" s="5"/>
      <c r="R60" s="5"/>
      <c r="S60" s="5">
        <v>5.4</v>
      </c>
      <c r="T60" s="5">
        <v>3.42</v>
      </c>
      <c r="U60" s="5"/>
      <c r="V60" s="5"/>
      <c r="W60" s="5">
        <f>S60/T60</f>
        <v>1.5789473684210529</v>
      </c>
      <c r="X60" s="19"/>
      <c r="Y60" s="17"/>
      <c r="Z60" s="5"/>
      <c r="AA60" s="5"/>
      <c r="AB60" s="5"/>
      <c r="AC60" s="5"/>
      <c r="AD60" s="13"/>
      <c r="AE60" s="13" t="s">
        <v>38</v>
      </c>
      <c r="AF60" s="7">
        <v>10.28</v>
      </c>
      <c r="AG60" s="7">
        <v>3.25</v>
      </c>
      <c r="AH60" s="7">
        <f t="shared" ref="AH60:AH61" si="5">AF60/AG60</f>
        <v>3.1630769230769227</v>
      </c>
    </row>
    <row r="61" spans="1:34" x14ac:dyDescent="0.4">
      <c r="A61" s="3"/>
      <c r="C61" s="2">
        <v>-10</v>
      </c>
      <c r="D61" s="2"/>
      <c r="E61" s="5"/>
      <c r="F61" s="5"/>
      <c r="G61" s="5"/>
      <c r="H61" s="5"/>
      <c r="I61" s="5"/>
      <c r="J61" s="5"/>
      <c r="K61" s="5"/>
      <c r="L61" s="17"/>
      <c r="M61" s="6">
        <v>60</v>
      </c>
      <c r="N61" s="13"/>
      <c r="O61" s="13">
        <v>-10</v>
      </c>
      <c r="P61" s="13"/>
      <c r="Q61" s="5"/>
      <c r="R61" s="5"/>
      <c r="S61" s="5"/>
      <c r="T61" s="5"/>
      <c r="U61" s="5"/>
      <c r="V61" s="5"/>
      <c r="W61" s="5"/>
      <c r="X61" s="19"/>
      <c r="Y61" s="17" t="s">
        <v>39</v>
      </c>
      <c r="Z61" s="5">
        <v>8</v>
      </c>
      <c r="AA61" s="5">
        <v>2.78</v>
      </c>
      <c r="AB61" s="5">
        <v>7.1</v>
      </c>
      <c r="AC61" s="5">
        <v>2.0299999999999998</v>
      </c>
      <c r="AD61" s="13"/>
      <c r="AE61" s="13" t="s">
        <v>40</v>
      </c>
      <c r="AF61" s="7">
        <v>9</v>
      </c>
      <c r="AG61" s="7">
        <v>2.15</v>
      </c>
      <c r="AH61" s="7">
        <f t="shared" si="5"/>
        <v>4.1860465116279073</v>
      </c>
    </row>
    <row r="62" spans="1:34" x14ac:dyDescent="0.4">
      <c r="A62" s="3"/>
      <c r="C62" s="2">
        <v>-7</v>
      </c>
      <c r="D62" s="2"/>
      <c r="E62" s="5"/>
      <c r="F62" s="5"/>
      <c r="G62" s="5">
        <v>6.25</v>
      </c>
      <c r="H62" s="5">
        <v>2.2000000000000002</v>
      </c>
      <c r="I62" s="5"/>
      <c r="J62" s="5"/>
      <c r="K62" s="5">
        <v>2.84</v>
      </c>
      <c r="L62" s="17"/>
      <c r="M62" s="6">
        <v>60</v>
      </c>
      <c r="N62" s="13"/>
      <c r="O62" s="13">
        <v>-7</v>
      </c>
      <c r="P62" s="13"/>
      <c r="Q62" s="5"/>
      <c r="R62" s="5"/>
      <c r="S62" s="5">
        <v>5.9</v>
      </c>
      <c r="T62" s="5">
        <v>3.06</v>
      </c>
      <c r="U62" s="5"/>
      <c r="V62" s="5"/>
      <c r="W62" s="5">
        <f>S62/T62</f>
        <v>1.9281045751633987</v>
      </c>
      <c r="X62" s="19"/>
      <c r="Y62" s="5">
        <f>AA62*(1.029-(0.05*Z62/G64))</f>
        <v>2.7822122222222223</v>
      </c>
      <c r="Z62" s="5">
        <v>7</v>
      </c>
      <c r="AA62" s="5">
        <v>2.81</v>
      </c>
      <c r="AB62" s="5">
        <v>7.1</v>
      </c>
      <c r="AC62" s="5">
        <v>2.34</v>
      </c>
      <c r="AD62" s="13"/>
      <c r="AE62" s="13"/>
      <c r="AF62" s="19"/>
      <c r="AG62" s="19"/>
      <c r="AH62" s="21"/>
    </row>
    <row r="63" spans="1:34" x14ac:dyDescent="0.4">
      <c r="A63" s="3"/>
      <c r="C63" s="2">
        <v>2</v>
      </c>
      <c r="D63" s="2"/>
      <c r="E63" s="5"/>
      <c r="F63" s="5"/>
      <c r="G63" s="5">
        <v>7</v>
      </c>
      <c r="H63" s="5">
        <v>2.06</v>
      </c>
      <c r="I63" s="5"/>
      <c r="J63" s="5"/>
      <c r="K63" s="5">
        <v>3.4</v>
      </c>
      <c r="L63" s="17"/>
      <c r="M63" s="6">
        <v>60</v>
      </c>
      <c r="N63" s="13"/>
      <c r="O63" s="13">
        <v>2</v>
      </c>
      <c r="P63" s="13"/>
      <c r="Q63" s="5"/>
      <c r="R63" s="5"/>
      <c r="S63" s="5">
        <v>6.3</v>
      </c>
      <c r="T63" s="5">
        <v>2.89</v>
      </c>
      <c r="U63" s="5"/>
      <c r="V63" s="5"/>
      <c r="W63" s="5">
        <f>S63/T63</f>
        <v>2.1799307958477505</v>
      </c>
      <c r="X63" s="19"/>
      <c r="Y63" s="5">
        <f>AA63*(0.906-(0.044*Z63/G64))</f>
        <v>3.442563555555556</v>
      </c>
      <c r="Z63" s="5">
        <v>4.3</v>
      </c>
      <c r="AA63" s="5">
        <v>3.89</v>
      </c>
      <c r="AB63" s="5">
        <v>4.3</v>
      </c>
      <c r="AC63" s="5">
        <v>3.16</v>
      </c>
      <c r="AD63" s="13"/>
      <c r="AE63" s="13"/>
      <c r="AF63" s="19"/>
      <c r="AG63" s="19"/>
      <c r="AH63" s="21"/>
    </row>
    <row r="64" spans="1:34" x14ac:dyDescent="0.4">
      <c r="A64" s="3"/>
      <c r="C64" s="2">
        <v>7</v>
      </c>
      <c r="D64" s="2"/>
      <c r="E64" s="5"/>
      <c r="F64" s="5"/>
      <c r="G64" s="5">
        <v>9</v>
      </c>
      <c r="H64" s="5">
        <v>1.98</v>
      </c>
      <c r="I64" s="5"/>
      <c r="J64" s="5"/>
      <c r="K64" s="5">
        <v>4.55</v>
      </c>
      <c r="L64" s="17"/>
      <c r="M64" s="6">
        <v>60</v>
      </c>
      <c r="N64" s="13"/>
      <c r="O64" s="13">
        <v>7</v>
      </c>
      <c r="P64" s="13"/>
      <c r="Q64" s="5"/>
      <c r="R64" s="5"/>
      <c r="S64" s="5">
        <v>8.9</v>
      </c>
      <c r="T64" s="5">
        <v>3.04</v>
      </c>
      <c r="U64" s="5"/>
      <c r="V64" s="5"/>
      <c r="W64" s="5">
        <f>S64/T64</f>
        <v>2.9276315789473686</v>
      </c>
      <c r="X64" s="19"/>
      <c r="Y64" s="5">
        <f>K64</f>
        <v>4.55</v>
      </c>
      <c r="Z64" s="5">
        <v>2.8</v>
      </c>
      <c r="AA64" s="5">
        <v>7.16</v>
      </c>
      <c r="AB64" s="5">
        <v>2.6</v>
      </c>
      <c r="AC64" s="5">
        <v>4.54</v>
      </c>
      <c r="AD64" s="13"/>
      <c r="AE64" s="13"/>
      <c r="AF64" s="19"/>
      <c r="AG64" s="19"/>
      <c r="AH64" s="21"/>
    </row>
    <row r="65" spans="1:34" x14ac:dyDescent="0.4">
      <c r="A65" s="3"/>
      <c r="C65" s="2">
        <v>12</v>
      </c>
      <c r="D65" s="2"/>
      <c r="E65" s="5"/>
      <c r="F65" s="5"/>
      <c r="G65" s="5"/>
      <c r="H65" s="5"/>
      <c r="I65" s="5"/>
      <c r="J65" s="5"/>
      <c r="K65" s="5"/>
      <c r="L65" s="17"/>
      <c r="M65" s="6">
        <v>60</v>
      </c>
      <c r="N65" s="13"/>
      <c r="O65" s="13">
        <v>12</v>
      </c>
      <c r="P65" s="13"/>
      <c r="Q65" s="5"/>
      <c r="R65" s="5"/>
      <c r="S65" s="5"/>
      <c r="T65" s="5"/>
      <c r="U65" s="5"/>
      <c r="V65" s="5"/>
      <c r="W65" s="5"/>
      <c r="X65" s="19"/>
      <c r="Y65" s="17"/>
      <c r="Z65" s="5">
        <v>3</v>
      </c>
      <c r="AA65" s="5">
        <v>8.74</v>
      </c>
      <c r="AB65" s="5">
        <v>3.2</v>
      </c>
      <c r="AC65" s="5">
        <v>6.61</v>
      </c>
      <c r="AD65" s="13"/>
      <c r="AE65" s="13"/>
      <c r="AF65" s="19"/>
      <c r="AG65" s="19"/>
      <c r="AH65" s="21"/>
    </row>
    <row r="66" spans="1:34" x14ac:dyDescent="0.4">
      <c r="A66" s="8"/>
      <c r="B66" s="8"/>
      <c r="C66" s="9"/>
      <c r="D66" s="9"/>
      <c r="E66" s="18"/>
      <c r="F66" s="18"/>
      <c r="G66" s="18"/>
      <c r="H66" s="18"/>
      <c r="I66" s="18"/>
      <c r="J66" s="18"/>
      <c r="K66" s="18"/>
      <c r="L66" s="18"/>
      <c r="M66" s="18"/>
      <c r="N66" s="14"/>
      <c r="O66" s="14"/>
      <c r="P66" s="14"/>
      <c r="Q66" s="18"/>
      <c r="R66" s="18"/>
      <c r="S66" s="18"/>
      <c r="T66" s="18"/>
      <c r="U66" s="18"/>
      <c r="V66" s="18"/>
      <c r="W66" s="18"/>
      <c r="X66" s="18"/>
      <c r="Y66" s="22"/>
      <c r="Z66" s="22"/>
      <c r="AA66" s="22"/>
      <c r="AB66" s="22"/>
      <c r="AC66" s="22"/>
      <c r="AD66" s="14"/>
      <c r="AE66" s="14"/>
      <c r="AF66" s="18"/>
      <c r="AG66" s="18"/>
      <c r="AH66" s="22"/>
    </row>
    <row r="67" spans="1:34" x14ac:dyDescent="0.4">
      <c r="A67" s="3" t="s">
        <v>58</v>
      </c>
      <c r="B67" s="1" t="s">
        <v>14</v>
      </c>
      <c r="C67" s="4">
        <v>-25</v>
      </c>
      <c r="D67" s="2"/>
      <c r="E67" s="5"/>
      <c r="F67" s="5"/>
      <c r="G67" s="5"/>
      <c r="H67" s="5"/>
      <c r="I67" s="5"/>
      <c r="J67" s="5"/>
      <c r="K67" s="5"/>
      <c r="L67" s="17"/>
      <c r="M67" s="6">
        <v>55</v>
      </c>
      <c r="N67" s="13"/>
      <c r="O67" s="4">
        <v>-25</v>
      </c>
      <c r="P67" s="13"/>
      <c r="Q67" s="5"/>
      <c r="R67" s="5"/>
      <c r="S67" s="5"/>
      <c r="T67" s="5"/>
      <c r="U67" s="5"/>
      <c r="V67" s="5"/>
      <c r="W67" s="5"/>
      <c r="X67" s="4">
        <v>6</v>
      </c>
      <c r="Y67" s="17"/>
      <c r="Z67" s="5"/>
      <c r="AA67" s="5"/>
      <c r="AB67" s="5"/>
      <c r="AC67" s="5"/>
      <c r="AD67" s="13"/>
      <c r="AE67" s="13" t="s">
        <v>37</v>
      </c>
      <c r="AF67" s="7">
        <v>8.1999999999999993</v>
      </c>
      <c r="AG67" s="7">
        <v>3.02</v>
      </c>
      <c r="AH67" s="7">
        <f>AF67/AG67</f>
        <v>2.7152317880794699</v>
      </c>
    </row>
    <row r="68" spans="1:34" x14ac:dyDescent="0.4">
      <c r="A68" s="3"/>
      <c r="C68" s="13">
        <v>-20</v>
      </c>
      <c r="D68" s="2"/>
      <c r="E68" s="5"/>
      <c r="F68" s="5"/>
      <c r="G68" s="5">
        <v>4.95</v>
      </c>
      <c r="H68" s="5">
        <v>2.4300000000000002</v>
      </c>
      <c r="I68" s="5"/>
      <c r="J68" s="5"/>
      <c r="K68" s="5">
        <f>G68/H68</f>
        <v>2.0370370370370368</v>
      </c>
      <c r="L68" s="17"/>
      <c r="M68" s="6">
        <v>55</v>
      </c>
      <c r="N68" s="13"/>
      <c r="O68" s="13">
        <v>-20</v>
      </c>
      <c r="P68" s="13"/>
      <c r="Q68" s="5"/>
      <c r="R68" s="5"/>
      <c r="S68" s="5">
        <v>4.04</v>
      </c>
      <c r="T68" s="5">
        <v>3</v>
      </c>
      <c r="U68" s="5"/>
      <c r="V68" s="5"/>
      <c r="W68" s="5">
        <f>S68/T68</f>
        <v>1.3466666666666667</v>
      </c>
      <c r="X68" s="19"/>
      <c r="Y68" s="17"/>
      <c r="Z68" s="5"/>
      <c r="AA68" s="5"/>
      <c r="AB68" s="5"/>
      <c r="AC68" s="5"/>
      <c r="AD68" s="13"/>
      <c r="AE68" s="13"/>
      <c r="AF68" s="7"/>
      <c r="AG68" s="7"/>
      <c r="AH68" s="7"/>
    </row>
    <row r="69" spans="1:34" x14ac:dyDescent="0.4">
      <c r="A69" s="3"/>
      <c r="C69" s="2">
        <v>-15</v>
      </c>
      <c r="D69" s="2"/>
      <c r="E69" s="5"/>
      <c r="F69" s="5"/>
      <c r="G69" s="5">
        <v>7.4</v>
      </c>
      <c r="H69" s="5">
        <v>3.2</v>
      </c>
      <c r="I69" s="5"/>
      <c r="J69" s="5"/>
      <c r="K69" s="5">
        <v>2.31</v>
      </c>
      <c r="L69" s="17"/>
      <c r="M69" s="6">
        <v>55</v>
      </c>
      <c r="N69" s="13"/>
      <c r="O69" s="13">
        <v>-15</v>
      </c>
      <c r="P69" s="13"/>
      <c r="Q69" s="5"/>
      <c r="R69" s="5"/>
      <c r="S69" s="5">
        <v>5.4</v>
      </c>
      <c r="T69" s="5">
        <v>3.42</v>
      </c>
      <c r="U69" s="5"/>
      <c r="V69" s="5"/>
      <c r="W69" s="5">
        <f>S69/T69</f>
        <v>1.5789473684210529</v>
      </c>
      <c r="X69" s="19"/>
      <c r="Y69" s="17"/>
      <c r="Z69" s="5"/>
      <c r="AA69" s="5"/>
      <c r="AB69" s="5"/>
      <c r="AC69" s="5"/>
      <c r="AD69" s="13"/>
      <c r="AE69" s="13" t="s">
        <v>38</v>
      </c>
      <c r="AF69" s="7">
        <v>10.28</v>
      </c>
      <c r="AG69" s="7">
        <v>3.25</v>
      </c>
      <c r="AH69" s="7">
        <f t="shared" ref="AH69:AH70" si="6">AF69/AG69</f>
        <v>3.1630769230769227</v>
      </c>
    </row>
    <row r="70" spans="1:34" x14ac:dyDescent="0.4">
      <c r="A70" s="3"/>
      <c r="C70" s="2">
        <v>-10</v>
      </c>
      <c r="D70" s="2"/>
      <c r="E70" s="5"/>
      <c r="F70" s="5"/>
      <c r="G70" s="5"/>
      <c r="H70" s="5"/>
      <c r="I70" s="5"/>
      <c r="J70" s="5"/>
      <c r="K70" s="5"/>
      <c r="L70" s="17"/>
      <c r="M70" s="6">
        <v>60</v>
      </c>
      <c r="N70" s="13"/>
      <c r="O70" s="13">
        <v>-10</v>
      </c>
      <c r="P70" s="13"/>
      <c r="Q70" s="5"/>
      <c r="R70" s="5"/>
      <c r="S70" s="5"/>
      <c r="T70" s="5"/>
      <c r="U70" s="5"/>
      <c r="V70" s="5"/>
      <c r="W70" s="5"/>
      <c r="X70" s="19"/>
      <c r="Y70" s="17" t="s">
        <v>39</v>
      </c>
      <c r="Z70" s="5">
        <v>8</v>
      </c>
      <c r="AA70" s="5">
        <v>2.78</v>
      </c>
      <c r="AB70" s="5">
        <v>7.1</v>
      </c>
      <c r="AC70" s="5">
        <v>2.0299999999999998</v>
      </c>
      <c r="AD70" s="13"/>
      <c r="AE70" s="13" t="s">
        <v>40</v>
      </c>
      <c r="AF70" s="7">
        <v>9</v>
      </c>
      <c r="AG70" s="7">
        <v>2.15</v>
      </c>
      <c r="AH70" s="7">
        <f t="shared" si="6"/>
        <v>4.1860465116279073</v>
      </c>
    </row>
    <row r="71" spans="1:34" x14ac:dyDescent="0.4">
      <c r="A71" s="3"/>
      <c r="C71" s="2">
        <v>-7</v>
      </c>
      <c r="D71" s="2"/>
      <c r="E71" s="5"/>
      <c r="F71" s="5"/>
      <c r="G71" s="5">
        <v>6.25</v>
      </c>
      <c r="H71" s="5">
        <v>2.2000000000000002</v>
      </c>
      <c r="I71" s="5"/>
      <c r="J71" s="5"/>
      <c r="K71" s="5">
        <v>2.84</v>
      </c>
      <c r="L71" s="17"/>
      <c r="M71" s="6">
        <v>60</v>
      </c>
      <c r="N71" s="13"/>
      <c r="O71" s="13">
        <v>-7</v>
      </c>
      <c r="P71" s="13"/>
      <c r="Q71" s="5"/>
      <c r="R71" s="5"/>
      <c r="S71" s="5">
        <v>5.9</v>
      </c>
      <c r="T71" s="5">
        <v>3.06</v>
      </c>
      <c r="U71" s="5"/>
      <c r="V71" s="5"/>
      <c r="W71" s="5">
        <f>S71/T71</f>
        <v>1.9281045751633987</v>
      </c>
      <c r="X71" s="19"/>
      <c r="Y71" s="5">
        <f>AA71*(1.029-(0.05*Z71/G73))</f>
        <v>2.7822122222222223</v>
      </c>
      <c r="Z71" s="5">
        <v>7</v>
      </c>
      <c r="AA71" s="5">
        <v>2.81</v>
      </c>
      <c r="AB71" s="5">
        <v>7.1</v>
      </c>
      <c r="AC71" s="5">
        <v>2.34</v>
      </c>
      <c r="AD71" s="13"/>
      <c r="AE71" s="13"/>
      <c r="AF71" s="13"/>
      <c r="AG71" s="13"/>
      <c r="AH71" s="15"/>
    </row>
    <row r="72" spans="1:34" x14ac:dyDescent="0.4">
      <c r="A72" s="3"/>
      <c r="C72" s="2">
        <v>2</v>
      </c>
      <c r="D72" s="2"/>
      <c r="E72" s="5"/>
      <c r="F72" s="5"/>
      <c r="G72" s="5">
        <v>7</v>
      </c>
      <c r="H72" s="5">
        <v>2.06</v>
      </c>
      <c r="I72" s="5"/>
      <c r="J72" s="5"/>
      <c r="K72" s="5">
        <v>3.4</v>
      </c>
      <c r="L72" s="17"/>
      <c r="M72" s="6">
        <v>60</v>
      </c>
      <c r="N72" s="13"/>
      <c r="O72" s="13">
        <v>2</v>
      </c>
      <c r="P72" s="13"/>
      <c r="Q72" s="5"/>
      <c r="R72" s="5"/>
      <c r="S72" s="5">
        <v>6.3</v>
      </c>
      <c r="T72" s="5">
        <v>2.89</v>
      </c>
      <c r="U72" s="5"/>
      <c r="V72" s="5"/>
      <c r="W72" s="5">
        <f>S72/T72</f>
        <v>2.1799307958477505</v>
      </c>
      <c r="X72" s="19"/>
      <c r="Y72" s="5">
        <f>AA72*(0.906-(0.044*Z72/G73))</f>
        <v>3.442563555555556</v>
      </c>
      <c r="Z72" s="5">
        <v>4.3</v>
      </c>
      <c r="AA72" s="5">
        <v>3.89</v>
      </c>
      <c r="AB72" s="5">
        <v>4.3</v>
      </c>
      <c r="AC72" s="5">
        <v>3.16</v>
      </c>
      <c r="AD72" s="13"/>
      <c r="AE72" s="13"/>
      <c r="AF72" s="13"/>
      <c r="AG72" s="13"/>
      <c r="AH72" s="15"/>
    </row>
    <row r="73" spans="1:34" x14ac:dyDescent="0.4">
      <c r="A73" s="3"/>
      <c r="C73" s="2">
        <v>7</v>
      </c>
      <c r="D73" s="2"/>
      <c r="E73" s="5"/>
      <c r="F73" s="5"/>
      <c r="G73" s="5">
        <v>9</v>
      </c>
      <c r="H73" s="5">
        <v>1.98</v>
      </c>
      <c r="I73" s="5"/>
      <c r="J73" s="5"/>
      <c r="K73" s="5">
        <v>4.55</v>
      </c>
      <c r="L73" s="17"/>
      <c r="M73" s="6">
        <v>60</v>
      </c>
      <c r="N73" s="13"/>
      <c r="O73" s="13">
        <v>7</v>
      </c>
      <c r="P73" s="13"/>
      <c r="Q73" s="5"/>
      <c r="R73" s="5"/>
      <c r="S73" s="5">
        <v>8.9</v>
      </c>
      <c r="T73" s="5">
        <v>3.04</v>
      </c>
      <c r="U73" s="5"/>
      <c r="V73" s="5"/>
      <c r="W73" s="5">
        <f>S73/T73</f>
        <v>2.9276315789473686</v>
      </c>
      <c r="X73" s="19"/>
      <c r="Y73" s="5">
        <f>K73</f>
        <v>4.55</v>
      </c>
      <c r="Z73" s="5">
        <v>2.8</v>
      </c>
      <c r="AA73" s="5">
        <v>7.16</v>
      </c>
      <c r="AB73" s="5">
        <v>2.6</v>
      </c>
      <c r="AC73" s="5">
        <v>4.54</v>
      </c>
      <c r="AD73" s="13"/>
      <c r="AE73" s="13"/>
      <c r="AF73" s="13"/>
      <c r="AG73" s="13"/>
      <c r="AH73" s="15"/>
    </row>
    <row r="74" spans="1:34" x14ac:dyDescent="0.4">
      <c r="A74" s="3"/>
      <c r="C74" s="2">
        <v>12</v>
      </c>
      <c r="D74" s="2"/>
      <c r="E74" s="5"/>
      <c r="F74" s="5"/>
      <c r="G74" s="5"/>
      <c r="H74" s="5"/>
      <c r="I74" s="5"/>
      <c r="J74" s="5"/>
      <c r="K74" s="5"/>
      <c r="L74" s="17"/>
      <c r="M74" s="6">
        <v>60</v>
      </c>
      <c r="N74" s="13"/>
      <c r="O74" s="13">
        <v>12</v>
      </c>
      <c r="P74" s="13"/>
      <c r="Q74" s="5"/>
      <c r="R74" s="5"/>
      <c r="S74" s="5"/>
      <c r="T74" s="5"/>
      <c r="U74" s="5"/>
      <c r="V74" s="5"/>
      <c r="W74" s="5"/>
      <c r="X74" s="19"/>
      <c r="Y74" s="17"/>
      <c r="Z74" s="5">
        <v>3</v>
      </c>
      <c r="AA74" s="5">
        <v>8.74</v>
      </c>
      <c r="AB74" s="5">
        <v>3.2</v>
      </c>
      <c r="AC74" s="5">
        <v>6.61</v>
      </c>
      <c r="AD74" s="13"/>
      <c r="AE74" s="13"/>
      <c r="AF74" s="13"/>
      <c r="AG74" s="13"/>
      <c r="AH74" s="15"/>
    </row>
    <row r="78" spans="1:34" x14ac:dyDescent="0.4">
      <c r="A78" s="2"/>
    </row>
    <row r="79" spans="1:34" x14ac:dyDescent="0.4">
      <c r="A79"/>
      <c r="F79" s="10"/>
    </row>
    <row r="80" spans="1:34" x14ac:dyDescent="0.4">
      <c r="A80"/>
      <c r="F80" s="11"/>
    </row>
    <row r="81" spans="1:1" x14ac:dyDescent="0.4">
      <c r="A81"/>
    </row>
    <row r="83" spans="1:1" x14ac:dyDescent="0.4">
      <c r="A83"/>
    </row>
    <row r="84" spans="1:1" x14ac:dyDescent="0.4">
      <c r="A84"/>
    </row>
    <row r="85" spans="1:1" x14ac:dyDescent="0.4">
      <c r="A85"/>
    </row>
    <row r="86" spans="1:1" x14ac:dyDescent="0.4">
      <c r="A86"/>
    </row>
    <row r="87" spans="1:1" x14ac:dyDescent="0.4">
      <c r="A87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5983-EDBF-4113-A253-5F7A6CF649E6}">
  <sheetPr>
    <tabColor theme="4"/>
  </sheetPr>
  <dimension ref="A1:AK33"/>
  <sheetViews>
    <sheetView zoomScaleNormal="100" workbookViewId="0">
      <pane xSplit="3" ySplit="3" topLeftCell="D4" activePane="bottomRight" state="frozen"/>
      <selection activeCell="AF12" sqref="AF12"/>
      <selection pane="topRight" activeCell="AF12" sqref="AF12"/>
      <selection pane="bottomLeft" activeCell="AF12" sqref="AF12"/>
      <selection pane="bottomRight" activeCell="A25" sqref="A25"/>
    </sheetView>
  </sheetViews>
  <sheetFormatPr baseColWidth="10" defaultColWidth="11.4609375" defaultRowHeight="14.6" x14ac:dyDescent="0.4"/>
  <cols>
    <col min="1" max="1" width="16.23046875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s="1" customFormat="1" x14ac:dyDescent="0.4">
      <c r="A4" s="3" t="s">
        <v>72</v>
      </c>
      <c r="B4" s="1" t="s">
        <v>73</v>
      </c>
      <c r="C4" s="4">
        <v>-28</v>
      </c>
      <c r="D4" s="2"/>
      <c r="E4" s="5"/>
      <c r="F4" s="5"/>
      <c r="G4" s="5"/>
      <c r="H4" s="5"/>
      <c r="I4" s="16"/>
      <c r="J4" s="5"/>
      <c r="K4" s="5"/>
      <c r="L4" s="17"/>
      <c r="M4" s="6">
        <v>55</v>
      </c>
      <c r="N4" s="13"/>
      <c r="O4" s="4">
        <v>-28</v>
      </c>
      <c r="P4" s="13"/>
      <c r="Q4" s="5"/>
      <c r="R4" s="5"/>
      <c r="S4" s="5"/>
      <c r="T4" s="5"/>
      <c r="U4" s="5"/>
      <c r="V4" s="5"/>
      <c r="W4" s="5"/>
      <c r="X4" s="4">
        <v>3</v>
      </c>
      <c r="Y4" s="17"/>
      <c r="Z4" s="5"/>
      <c r="AA4" s="5"/>
      <c r="AB4" s="5"/>
      <c r="AC4" s="5"/>
      <c r="AD4" s="13"/>
      <c r="AE4" s="13" t="s">
        <v>37</v>
      </c>
      <c r="AF4" s="7">
        <v>8.8000000000000007</v>
      </c>
      <c r="AG4" s="7">
        <v>2.83</v>
      </c>
      <c r="AH4" s="7">
        <f>AF4/AG4</f>
        <v>3.1095406360424032</v>
      </c>
    </row>
    <row r="5" spans="1:37" x14ac:dyDescent="0.4">
      <c r="A5" s="3"/>
      <c r="C5" s="13">
        <v>-20</v>
      </c>
      <c r="D5" s="2"/>
      <c r="E5" s="5"/>
      <c r="F5" s="5"/>
      <c r="G5" s="5">
        <v>8.8000000000000007</v>
      </c>
      <c r="H5" s="5">
        <v>4.79</v>
      </c>
      <c r="I5" s="16"/>
      <c r="J5" s="5"/>
      <c r="K5" s="5">
        <v>1.8371607515657622</v>
      </c>
      <c r="L5" s="17"/>
      <c r="M5" s="6">
        <v>55</v>
      </c>
      <c r="N5" s="13"/>
      <c r="O5" s="13">
        <v>-20</v>
      </c>
      <c r="P5" s="13"/>
      <c r="Q5" s="5"/>
      <c r="R5" s="5"/>
      <c r="S5" s="5">
        <v>8.5500000000000007</v>
      </c>
      <c r="T5" s="5">
        <v>5.9</v>
      </c>
      <c r="U5" s="5"/>
      <c r="V5" s="5"/>
      <c r="W5" s="5">
        <v>1.4491525423728815</v>
      </c>
      <c r="X5" s="20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7" x14ac:dyDescent="0.4">
      <c r="A6" s="3"/>
      <c r="C6" s="2">
        <v>-15</v>
      </c>
      <c r="D6" s="2"/>
      <c r="E6" s="5"/>
      <c r="F6" s="5"/>
      <c r="G6" s="5">
        <v>9</v>
      </c>
      <c r="H6" s="5">
        <v>3.45</v>
      </c>
      <c r="I6" s="16"/>
      <c r="J6" s="5"/>
      <c r="K6" s="5">
        <v>2.6086956521739131</v>
      </c>
      <c r="L6" s="17"/>
      <c r="M6" s="6">
        <v>55</v>
      </c>
      <c r="N6" s="13"/>
      <c r="O6" s="13">
        <v>-15</v>
      </c>
      <c r="P6" s="13"/>
      <c r="Q6" s="5"/>
      <c r="R6" s="5"/>
      <c r="S6" s="5">
        <v>9</v>
      </c>
      <c r="T6" s="5">
        <v>4.95</v>
      </c>
      <c r="U6" s="5"/>
      <c r="V6" s="5"/>
      <c r="W6" s="5">
        <v>1.8181818181818181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9.07</v>
      </c>
      <c r="AG6" s="7">
        <v>3.01</v>
      </c>
      <c r="AH6" s="7">
        <f>AF6/AG6</f>
        <v>3.0132890365448506</v>
      </c>
    </row>
    <row r="7" spans="1:37" x14ac:dyDescent="0.4">
      <c r="A7" s="3"/>
      <c r="C7" s="2">
        <v>-10</v>
      </c>
      <c r="D7" s="2"/>
      <c r="E7" s="5"/>
      <c r="F7" s="5"/>
      <c r="G7" s="5"/>
      <c r="H7" s="5"/>
      <c r="I7" s="16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9</v>
      </c>
      <c r="AA7" s="5">
        <v>2.9</v>
      </c>
      <c r="AB7" s="5">
        <v>9</v>
      </c>
      <c r="AC7" s="5">
        <v>2.04</v>
      </c>
      <c r="AD7" s="13"/>
      <c r="AE7" s="13" t="s">
        <v>40</v>
      </c>
      <c r="AF7" s="7">
        <v>8.8000000000000007</v>
      </c>
      <c r="AG7" s="7">
        <v>1.9</v>
      </c>
      <c r="AH7" s="7">
        <f>AF7/AG7</f>
        <v>4.6315789473684212</v>
      </c>
    </row>
    <row r="8" spans="1:37" x14ac:dyDescent="0.4">
      <c r="A8" s="3"/>
      <c r="C8" s="2">
        <v>-7</v>
      </c>
      <c r="D8" s="2"/>
      <c r="E8" s="5"/>
      <c r="F8" s="5"/>
      <c r="G8" s="5">
        <v>9</v>
      </c>
      <c r="H8" s="5">
        <v>3</v>
      </c>
      <c r="I8" s="16"/>
      <c r="J8" s="5"/>
      <c r="K8" s="5">
        <v>3</v>
      </c>
      <c r="L8" s="17"/>
      <c r="M8" s="6">
        <v>60</v>
      </c>
      <c r="N8" s="13"/>
      <c r="O8" s="13">
        <v>-7</v>
      </c>
      <c r="P8" s="13"/>
      <c r="Q8" s="5"/>
      <c r="R8" s="5"/>
      <c r="S8" s="5">
        <v>9</v>
      </c>
      <c r="T8" s="5">
        <v>4.28</v>
      </c>
      <c r="U8" s="5"/>
      <c r="V8" s="5"/>
      <c r="W8" s="5">
        <v>2.1028037383177569</v>
      </c>
      <c r="X8" s="19"/>
      <c r="Y8" s="5">
        <f>AA8*(1.029-(0.05*Z8/G10))</f>
        <v>2.9930488888888886</v>
      </c>
      <c r="Z8" s="5">
        <v>8</v>
      </c>
      <c r="AA8" s="5">
        <v>3.04</v>
      </c>
      <c r="AB8" s="5">
        <v>8</v>
      </c>
      <c r="AC8" s="5">
        <v>2.33</v>
      </c>
      <c r="AD8" s="13"/>
      <c r="AE8" s="13"/>
      <c r="AF8" s="34"/>
      <c r="AG8" s="34"/>
      <c r="AH8" s="33"/>
      <c r="AK8" s="23"/>
    </row>
    <row r="9" spans="1:37" x14ac:dyDescent="0.4">
      <c r="A9" s="3"/>
      <c r="C9" s="2">
        <v>2</v>
      </c>
      <c r="D9" s="2"/>
      <c r="E9" s="5"/>
      <c r="F9" s="5"/>
      <c r="G9" s="5">
        <v>9</v>
      </c>
      <c r="H9" s="5">
        <v>2.44</v>
      </c>
      <c r="I9" s="16"/>
      <c r="J9" s="5"/>
      <c r="K9" s="5">
        <v>3.6885245901639343</v>
      </c>
      <c r="L9" s="17"/>
      <c r="M9" s="6">
        <v>60</v>
      </c>
      <c r="N9" s="13"/>
      <c r="O9" s="13">
        <v>2</v>
      </c>
      <c r="P9" s="13"/>
      <c r="Q9" s="5"/>
      <c r="R9" s="5"/>
      <c r="S9" s="5">
        <v>9</v>
      </c>
      <c r="T9" s="5">
        <v>3.9</v>
      </c>
      <c r="U9" s="5"/>
      <c r="V9" s="5"/>
      <c r="W9" s="5">
        <v>2.3076923076923079</v>
      </c>
      <c r="X9" s="19"/>
      <c r="Y9" s="5">
        <f>AA9*(0.906-(0.044*Z9/G10))</f>
        <v>4.3484791111111116</v>
      </c>
      <c r="Z9" s="5">
        <v>4.9000000000000004</v>
      </c>
      <c r="AA9" s="5">
        <v>4.93</v>
      </c>
      <c r="AB9" s="5">
        <v>4.9000000000000004</v>
      </c>
      <c r="AC9" s="5">
        <v>3.46</v>
      </c>
      <c r="AD9" s="13"/>
      <c r="AE9" s="13"/>
      <c r="AF9" s="34"/>
      <c r="AG9" s="34"/>
      <c r="AH9" s="33"/>
      <c r="AK9" s="23"/>
    </row>
    <row r="10" spans="1:37" x14ac:dyDescent="0.4">
      <c r="A10" s="3"/>
      <c r="C10" s="2">
        <v>7</v>
      </c>
      <c r="D10" s="2"/>
      <c r="E10" s="5"/>
      <c r="F10" s="5"/>
      <c r="G10" s="5">
        <v>9</v>
      </c>
      <c r="H10" s="5">
        <v>1.79</v>
      </c>
      <c r="I10" s="16"/>
      <c r="J10" s="5"/>
      <c r="K10" s="5">
        <v>5.027932960893855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9</v>
      </c>
      <c r="T10" s="5">
        <v>2.93</v>
      </c>
      <c r="U10" s="5"/>
      <c r="V10" s="5"/>
      <c r="W10" s="5">
        <v>3.0716723549488054</v>
      </c>
      <c r="X10" s="19"/>
      <c r="Y10" s="5">
        <f>K10</f>
        <v>5.027932960893855</v>
      </c>
      <c r="Z10" s="5">
        <v>5.4</v>
      </c>
      <c r="AA10" s="5">
        <v>6.26</v>
      </c>
      <c r="AB10" s="5">
        <v>5.0999999999999996</v>
      </c>
      <c r="AC10" s="5">
        <v>4.4800000000000004</v>
      </c>
      <c r="AD10" s="13"/>
      <c r="AE10" s="13"/>
      <c r="AF10" s="34"/>
      <c r="AG10" s="34"/>
      <c r="AH10" s="33"/>
      <c r="AK10" s="23"/>
    </row>
    <row r="11" spans="1:37" x14ac:dyDescent="0.4">
      <c r="A11" s="3"/>
      <c r="C11" s="2">
        <v>12</v>
      </c>
      <c r="D11" s="2"/>
      <c r="E11" s="5"/>
      <c r="F11" s="5"/>
      <c r="G11" s="5"/>
      <c r="H11" s="5"/>
      <c r="I11" s="16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6.3</v>
      </c>
      <c r="AA11" s="5">
        <v>8.19</v>
      </c>
      <c r="AB11" s="5">
        <v>6.1</v>
      </c>
      <c r="AC11" s="5">
        <v>6.02</v>
      </c>
      <c r="AD11" s="13"/>
      <c r="AE11" s="13"/>
      <c r="AF11" s="34"/>
      <c r="AG11" s="34"/>
      <c r="AH11" s="33"/>
    </row>
    <row r="12" spans="1:37" x14ac:dyDescent="0.4">
      <c r="A12" s="8"/>
      <c r="B12" s="8"/>
      <c r="C12" s="9"/>
      <c r="D12" s="9"/>
      <c r="E12" s="18"/>
      <c r="F12" s="18"/>
      <c r="G12" s="18"/>
      <c r="H12" s="18"/>
      <c r="I12" s="18"/>
      <c r="J12" s="18"/>
      <c r="K12" s="18"/>
      <c r="L12" s="18"/>
      <c r="M12" s="18"/>
      <c r="N12" s="14"/>
      <c r="O12" s="14"/>
      <c r="P12" s="14"/>
      <c r="Q12" s="18"/>
      <c r="R12" s="18"/>
      <c r="S12" s="18"/>
      <c r="T12" s="18"/>
      <c r="U12" s="18"/>
      <c r="V12" s="18"/>
      <c r="W12" s="18"/>
      <c r="X12" s="18"/>
      <c r="Y12" s="22"/>
      <c r="Z12" s="22"/>
      <c r="AA12" s="22"/>
      <c r="AB12" s="22"/>
      <c r="AC12" s="22"/>
      <c r="AD12" s="14"/>
      <c r="AE12" s="14"/>
      <c r="AF12" s="30"/>
      <c r="AG12" s="30"/>
      <c r="AH12" s="30"/>
    </row>
    <row r="13" spans="1:37" x14ac:dyDescent="0.4">
      <c r="A13" s="3" t="s">
        <v>74</v>
      </c>
      <c r="B13" s="1" t="s">
        <v>73</v>
      </c>
      <c r="C13" s="4">
        <v>-28</v>
      </c>
      <c r="D13" s="2"/>
      <c r="E13" s="5"/>
      <c r="F13" s="5"/>
      <c r="G13" s="5"/>
      <c r="H13" s="5"/>
      <c r="I13" s="16"/>
      <c r="J13" s="5"/>
      <c r="K13" s="5"/>
      <c r="L13" s="17"/>
      <c r="M13" s="6">
        <v>55</v>
      </c>
      <c r="N13" s="13"/>
      <c r="O13" s="4">
        <v>-28</v>
      </c>
      <c r="P13" s="13"/>
      <c r="Q13" s="5"/>
      <c r="R13" s="5"/>
      <c r="S13" s="5"/>
      <c r="T13" s="5"/>
      <c r="U13" s="5"/>
      <c r="V13" s="5"/>
      <c r="W13" s="5"/>
      <c r="X13" s="4">
        <v>6</v>
      </c>
      <c r="Y13" s="17"/>
      <c r="Z13" s="5"/>
      <c r="AA13" s="5"/>
      <c r="AB13" s="5"/>
      <c r="AC13" s="5"/>
      <c r="AD13" s="13"/>
      <c r="AE13" s="13" t="s">
        <v>37</v>
      </c>
      <c r="AF13" s="7">
        <v>8.8000000000000007</v>
      </c>
      <c r="AG13" s="7">
        <v>2.83</v>
      </c>
      <c r="AH13" s="7">
        <f>AF13/AG13</f>
        <v>3.1095406360424032</v>
      </c>
    </row>
    <row r="14" spans="1:37" x14ac:dyDescent="0.4">
      <c r="A14" s="3"/>
      <c r="C14" s="13">
        <v>-20</v>
      </c>
      <c r="D14" s="2"/>
      <c r="E14" s="5"/>
      <c r="F14" s="5"/>
      <c r="G14" s="5">
        <v>8.8000000000000007</v>
      </c>
      <c r="H14" s="5">
        <v>4.79</v>
      </c>
      <c r="I14" s="16"/>
      <c r="J14" s="5"/>
      <c r="K14" s="5">
        <v>1.8371607515657622</v>
      </c>
      <c r="L14" s="17"/>
      <c r="M14" s="6">
        <v>55</v>
      </c>
      <c r="N14" s="13"/>
      <c r="O14" s="13">
        <v>-20</v>
      </c>
      <c r="P14" s="13"/>
      <c r="Q14" s="5"/>
      <c r="R14" s="5"/>
      <c r="S14" s="5">
        <v>8.5500000000000007</v>
      </c>
      <c r="T14" s="5">
        <v>5.9</v>
      </c>
      <c r="U14" s="5"/>
      <c r="V14" s="5"/>
      <c r="W14" s="5">
        <v>1.4491525423728815</v>
      </c>
      <c r="X14" s="20"/>
      <c r="Y14" s="17"/>
      <c r="Z14" s="5"/>
      <c r="AA14" s="5"/>
      <c r="AB14" s="5"/>
      <c r="AC14" s="5"/>
      <c r="AD14" s="13"/>
      <c r="AE14" s="13"/>
      <c r="AF14" s="7"/>
      <c r="AG14" s="7"/>
      <c r="AH14" s="7"/>
    </row>
    <row r="15" spans="1:37" x14ac:dyDescent="0.4">
      <c r="A15" s="3"/>
      <c r="C15" s="2">
        <v>-15</v>
      </c>
      <c r="D15" s="2"/>
      <c r="E15" s="5"/>
      <c r="F15" s="5"/>
      <c r="G15" s="5">
        <v>9</v>
      </c>
      <c r="H15" s="5">
        <v>3.45</v>
      </c>
      <c r="I15" s="16"/>
      <c r="J15" s="5"/>
      <c r="K15" s="5">
        <v>2.6086956521739131</v>
      </c>
      <c r="L15" s="17"/>
      <c r="M15" s="6">
        <v>55</v>
      </c>
      <c r="N15" s="13"/>
      <c r="O15" s="13">
        <v>-15</v>
      </c>
      <c r="P15" s="13"/>
      <c r="Q15" s="5"/>
      <c r="R15" s="5"/>
      <c r="S15" s="5">
        <v>9</v>
      </c>
      <c r="T15" s="5">
        <v>4.95</v>
      </c>
      <c r="U15" s="5"/>
      <c r="V15" s="5"/>
      <c r="W15" s="5">
        <v>1.8181818181818181</v>
      </c>
      <c r="X15" s="19"/>
      <c r="Y15" s="17"/>
      <c r="Z15" s="5"/>
      <c r="AA15" s="5"/>
      <c r="AB15" s="5"/>
      <c r="AC15" s="5"/>
      <c r="AD15" s="13"/>
      <c r="AE15" s="13" t="s">
        <v>38</v>
      </c>
      <c r="AF15" s="7">
        <v>9.07</v>
      </c>
      <c r="AG15" s="7">
        <v>3.01</v>
      </c>
      <c r="AH15" s="7">
        <f>AF15/AG15</f>
        <v>3.0132890365448506</v>
      </c>
    </row>
    <row r="16" spans="1:37" x14ac:dyDescent="0.4">
      <c r="A16" s="3"/>
      <c r="C16" s="2">
        <v>-10</v>
      </c>
      <c r="D16" s="2"/>
      <c r="E16" s="5"/>
      <c r="F16" s="5"/>
      <c r="G16" s="5"/>
      <c r="H16" s="5"/>
      <c r="I16" s="16"/>
      <c r="J16" s="5"/>
      <c r="K16" s="5"/>
      <c r="L16" s="17"/>
      <c r="M16" s="6">
        <v>60</v>
      </c>
      <c r="N16" s="13"/>
      <c r="O16" s="13">
        <v>-10</v>
      </c>
      <c r="P16" s="13"/>
      <c r="Q16" s="5"/>
      <c r="R16" s="5"/>
      <c r="S16" s="5"/>
      <c r="T16" s="5"/>
      <c r="U16" s="5"/>
      <c r="V16" s="5"/>
      <c r="W16" s="5"/>
      <c r="X16" s="19"/>
      <c r="Y16" s="17" t="s">
        <v>39</v>
      </c>
      <c r="Z16" s="5">
        <v>9</v>
      </c>
      <c r="AA16" s="5">
        <v>2.9</v>
      </c>
      <c r="AB16" s="5">
        <v>9</v>
      </c>
      <c r="AC16" s="5">
        <v>2.04</v>
      </c>
      <c r="AD16" s="13"/>
      <c r="AE16" s="13" t="s">
        <v>40</v>
      </c>
      <c r="AF16" s="7">
        <v>8.8000000000000007</v>
      </c>
      <c r="AG16" s="7">
        <v>1.9</v>
      </c>
      <c r="AH16" s="7">
        <f>AF16/AG16</f>
        <v>4.6315789473684212</v>
      </c>
    </row>
    <row r="17" spans="1:34" x14ac:dyDescent="0.4">
      <c r="A17" s="3"/>
      <c r="C17" s="2">
        <v>-7</v>
      </c>
      <c r="D17" s="2"/>
      <c r="E17" s="5"/>
      <c r="F17" s="5"/>
      <c r="G17" s="5">
        <v>9</v>
      </c>
      <c r="H17" s="5">
        <v>3</v>
      </c>
      <c r="I17" s="16"/>
      <c r="J17" s="5"/>
      <c r="K17" s="5">
        <v>3</v>
      </c>
      <c r="L17" s="17"/>
      <c r="M17" s="6">
        <v>60</v>
      </c>
      <c r="N17" s="13"/>
      <c r="O17" s="13">
        <v>-7</v>
      </c>
      <c r="P17" s="13"/>
      <c r="Q17" s="5"/>
      <c r="R17" s="5"/>
      <c r="S17" s="5">
        <v>9</v>
      </c>
      <c r="T17" s="5">
        <v>4.28</v>
      </c>
      <c r="U17" s="5"/>
      <c r="V17" s="5"/>
      <c r="W17" s="5">
        <v>2.1028037383177569</v>
      </c>
      <c r="X17" s="19"/>
      <c r="Y17" s="5">
        <f>AA17*(1.029-(0.05*Z17/G19))</f>
        <v>2.9930488888888886</v>
      </c>
      <c r="Z17" s="5">
        <v>8</v>
      </c>
      <c r="AA17" s="5">
        <v>3.04</v>
      </c>
      <c r="AB17" s="5">
        <v>8</v>
      </c>
      <c r="AC17" s="5">
        <v>2.33</v>
      </c>
      <c r="AD17" s="13"/>
      <c r="AE17" s="13"/>
      <c r="AF17" s="34"/>
      <c r="AG17" s="34"/>
      <c r="AH17" s="33"/>
    </row>
    <row r="18" spans="1:34" x14ac:dyDescent="0.4">
      <c r="A18" s="3"/>
      <c r="C18" s="2">
        <v>2</v>
      </c>
      <c r="D18" s="2"/>
      <c r="E18" s="5"/>
      <c r="F18" s="5"/>
      <c r="G18" s="5">
        <v>9</v>
      </c>
      <c r="H18" s="5">
        <v>2.44</v>
      </c>
      <c r="I18" s="16"/>
      <c r="J18" s="5"/>
      <c r="K18" s="5">
        <v>3.6885245901639343</v>
      </c>
      <c r="L18" s="17"/>
      <c r="M18" s="6">
        <v>60</v>
      </c>
      <c r="N18" s="13"/>
      <c r="O18" s="13">
        <v>2</v>
      </c>
      <c r="P18" s="13"/>
      <c r="Q18" s="5"/>
      <c r="R18" s="5"/>
      <c r="S18" s="5">
        <v>9</v>
      </c>
      <c r="T18" s="5">
        <v>3.9</v>
      </c>
      <c r="U18" s="5"/>
      <c r="V18" s="5"/>
      <c r="W18" s="5">
        <v>2.3076923076923079</v>
      </c>
      <c r="X18" s="19"/>
      <c r="Y18" s="5">
        <f>AA18*(0.906-(0.044*Z18/G19))</f>
        <v>4.3484791111111116</v>
      </c>
      <c r="Z18" s="5">
        <v>4.9000000000000004</v>
      </c>
      <c r="AA18" s="5">
        <v>4.93</v>
      </c>
      <c r="AB18" s="5">
        <v>4.9000000000000004</v>
      </c>
      <c r="AC18" s="5">
        <v>3.46</v>
      </c>
      <c r="AD18" s="13"/>
      <c r="AE18" s="13"/>
      <c r="AF18" s="34"/>
      <c r="AG18" s="34"/>
      <c r="AH18" s="33"/>
    </row>
    <row r="19" spans="1:34" x14ac:dyDescent="0.4">
      <c r="A19" s="3"/>
      <c r="C19" s="2">
        <v>7</v>
      </c>
      <c r="D19" s="2"/>
      <c r="E19" s="5"/>
      <c r="F19" s="5"/>
      <c r="G19" s="5">
        <v>9</v>
      </c>
      <c r="H19" s="5">
        <v>1.79</v>
      </c>
      <c r="I19" s="16"/>
      <c r="J19" s="5"/>
      <c r="K19" s="5">
        <v>5.027932960893855</v>
      </c>
      <c r="L19" s="17"/>
      <c r="M19" s="6">
        <v>60</v>
      </c>
      <c r="N19" s="13"/>
      <c r="O19" s="13">
        <v>7</v>
      </c>
      <c r="P19" s="13"/>
      <c r="Q19" s="5"/>
      <c r="R19" s="5"/>
      <c r="S19" s="5">
        <v>9</v>
      </c>
      <c r="T19" s="5">
        <v>2.93</v>
      </c>
      <c r="U19" s="5"/>
      <c r="V19" s="5"/>
      <c r="W19" s="5">
        <v>3.0716723549488054</v>
      </c>
      <c r="X19" s="19"/>
      <c r="Y19" s="5">
        <f>K19</f>
        <v>5.027932960893855</v>
      </c>
      <c r="Z19" s="5">
        <v>5.4</v>
      </c>
      <c r="AA19" s="5">
        <v>6.26</v>
      </c>
      <c r="AB19" s="5">
        <v>5.0999999999999996</v>
      </c>
      <c r="AC19" s="5">
        <v>4.4800000000000004</v>
      </c>
      <c r="AD19" s="13"/>
      <c r="AE19" s="13"/>
      <c r="AF19" s="34"/>
      <c r="AG19" s="34"/>
      <c r="AH19" s="33"/>
    </row>
    <row r="20" spans="1:34" x14ac:dyDescent="0.4">
      <c r="A20" s="3"/>
      <c r="C20" s="2">
        <v>12</v>
      </c>
      <c r="D20" s="2"/>
      <c r="E20" s="5"/>
      <c r="F20" s="5"/>
      <c r="G20" s="5"/>
      <c r="H20" s="5"/>
      <c r="I20" s="16"/>
      <c r="J20" s="5"/>
      <c r="K20" s="5"/>
      <c r="L20" s="17"/>
      <c r="M20" s="6">
        <v>60</v>
      </c>
      <c r="N20" s="13"/>
      <c r="O20" s="13">
        <v>12</v>
      </c>
      <c r="P20" s="13"/>
      <c r="Q20" s="5"/>
      <c r="R20" s="5"/>
      <c r="S20" s="5"/>
      <c r="T20" s="5"/>
      <c r="U20" s="5"/>
      <c r="V20" s="5"/>
      <c r="W20" s="5"/>
      <c r="X20" s="19"/>
      <c r="Y20" s="17"/>
      <c r="Z20" s="5">
        <v>6.3</v>
      </c>
      <c r="AA20" s="5">
        <v>8.19</v>
      </c>
      <c r="AB20" s="5">
        <v>6.1</v>
      </c>
      <c r="AC20" s="5">
        <v>6.02</v>
      </c>
      <c r="AD20" s="13"/>
      <c r="AE20" s="13"/>
      <c r="AF20" s="34"/>
      <c r="AG20" s="34"/>
      <c r="AH20" s="33"/>
    </row>
    <row r="21" spans="1:34" x14ac:dyDescent="0.4">
      <c r="A21" s="8"/>
      <c r="B21" s="8"/>
      <c r="C21" s="9"/>
      <c r="D21" s="9"/>
      <c r="E21" s="18"/>
      <c r="F21" s="18"/>
      <c r="G21" s="30"/>
      <c r="H21" s="30"/>
      <c r="I21" s="30"/>
      <c r="J21" s="30"/>
      <c r="K21" s="30"/>
      <c r="L21" s="18"/>
      <c r="M21" s="30"/>
      <c r="N21" s="14"/>
      <c r="O21" s="14"/>
      <c r="P21" s="14"/>
      <c r="Q21" s="18"/>
      <c r="R21" s="18"/>
      <c r="S21" s="30"/>
      <c r="T21" s="30"/>
      <c r="U21" s="30"/>
      <c r="V21" s="30"/>
      <c r="W21" s="30"/>
      <c r="X21" s="18"/>
      <c r="Y21" s="31"/>
      <c r="Z21" s="31"/>
      <c r="AA21" s="31"/>
      <c r="AB21" s="31"/>
      <c r="AC21" s="31"/>
      <c r="AD21" s="14"/>
      <c r="AE21" s="14"/>
      <c r="AF21" s="30"/>
      <c r="AG21" s="30"/>
      <c r="AH21" s="30"/>
    </row>
    <row r="22" spans="1:34" x14ac:dyDescent="0.4">
      <c r="S22" s="33"/>
      <c r="T22" s="33"/>
      <c r="U22" s="33"/>
      <c r="V22" s="33"/>
      <c r="W22" s="33"/>
      <c r="Y22" s="33"/>
      <c r="Z22" s="33"/>
      <c r="AA22" s="33"/>
      <c r="AB22" s="33"/>
      <c r="AC22" s="33"/>
      <c r="AF22" s="33"/>
      <c r="AG22" s="33"/>
      <c r="AH22" s="33"/>
    </row>
    <row r="23" spans="1:34" x14ac:dyDescent="0.4">
      <c r="A23" s="1" t="s">
        <v>41</v>
      </c>
      <c r="S23" s="33"/>
      <c r="T23" s="33"/>
      <c r="U23" s="33"/>
      <c r="V23" s="33"/>
      <c r="W23" s="33"/>
      <c r="Y23" s="33"/>
      <c r="Z23" s="33"/>
      <c r="AA23" s="33"/>
      <c r="AB23" s="33"/>
      <c r="AC23" s="33"/>
      <c r="AF23" s="33"/>
      <c r="AG23" s="33"/>
      <c r="AH23" s="33"/>
    </row>
    <row r="24" spans="1:34" x14ac:dyDescent="0.4">
      <c r="A24" t="s">
        <v>84</v>
      </c>
      <c r="AF24" s="33"/>
      <c r="AG24" s="33"/>
      <c r="AH24" s="33"/>
    </row>
    <row r="25" spans="1:34" x14ac:dyDescent="0.4">
      <c r="A25" t="s">
        <v>85</v>
      </c>
      <c r="F25" s="10"/>
      <c r="AF25" s="33"/>
      <c r="AG25" s="33"/>
      <c r="AH25" s="33"/>
    </row>
    <row r="26" spans="1:34" x14ac:dyDescent="0.4">
      <c r="A26"/>
      <c r="F26" s="11"/>
      <c r="AF26" s="33"/>
      <c r="AG26" s="33"/>
      <c r="AH26" s="33"/>
    </row>
    <row r="27" spans="1:34" x14ac:dyDescent="0.4">
      <c r="A27"/>
      <c r="AF27" s="33"/>
      <c r="AG27" s="33"/>
      <c r="AH27" s="33"/>
    </row>
    <row r="28" spans="1:34" x14ac:dyDescent="0.4">
      <c r="A28"/>
      <c r="AF28" s="33"/>
      <c r="AG28" s="33"/>
      <c r="AH28" s="33"/>
    </row>
    <row r="29" spans="1:34" x14ac:dyDescent="0.4">
      <c r="A29"/>
      <c r="AF29" s="33"/>
      <c r="AG29" s="33"/>
      <c r="AH29" s="33"/>
    </row>
    <row r="30" spans="1:34" x14ac:dyDescent="0.4">
      <c r="A30"/>
      <c r="AF30" s="33"/>
      <c r="AG30" s="33"/>
      <c r="AH30" s="33"/>
    </row>
    <row r="31" spans="1:34" x14ac:dyDescent="0.4">
      <c r="A31"/>
    </row>
    <row r="32" spans="1:34" x14ac:dyDescent="0.4">
      <c r="A32"/>
    </row>
    <row r="33" spans="1:1" x14ac:dyDescent="0.4">
      <c r="A33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C0F1-7164-4212-B631-B4B001166FD0}">
  <sheetPr>
    <tabColor theme="4"/>
  </sheetPr>
  <dimension ref="A1:AK24"/>
  <sheetViews>
    <sheetView zoomScale="85" zoomScaleNormal="85" workbookViewId="0">
      <pane xSplit="3" ySplit="3" topLeftCell="D4" activePane="bottomRight" state="frozen"/>
      <selection activeCell="AF12" sqref="AF12"/>
      <selection pane="topRight" activeCell="AF12" sqref="AF12"/>
      <selection pane="bottomLeft" activeCell="AF12" sqref="AF12"/>
      <selection pane="bottomRight" activeCell="A14" sqref="A14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s="1" customFormat="1" x14ac:dyDescent="0.4">
      <c r="A4" s="3" t="s">
        <v>75</v>
      </c>
      <c r="B4" s="1" t="s">
        <v>76</v>
      </c>
      <c r="C4" s="4">
        <v>-28</v>
      </c>
      <c r="D4" s="2"/>
      <c r="E4" s="5"/>
      <c r="F4" s="5"/>
      <c r="G4" s="5"/>
      <c r="H4" s="5"/>
      <c r="I4" s="16"/>
      <c r="J4" s="5"/>
      <c r="K4" s="5"/>
      <c r="L4" s="17"/>
      <c r="M4" s="6">
        <v>55</v>
      </c>
      <c r="N4" s="13"/>
      <c r="O4" s="4">
        <v>-28</v>
      </c>
      <c r="P4" s="13"/>
      <c r="Q4" s="5"/>
      <c r="R4" s="5"/>
      <c r="S4" s="5"/>
      <c r="T4" s="5"/>
      <c r="U4" s="5"/>
      <c r="V4" s="5"/>
      <c r="W4" s="5"/>
      <c r="X4" s="4">
        <v>6</v>
      </c>
      <c r="Y4" s="17"/>
      <c r="Z4" s="5"/>
      <c r="AA4" s="5"/>
      <c r="AB4" s="5"/>
      <c r="AC4" s="5"/>
      <c r="AD4" s="13"/>
      <c r="AE4" s="13" t="s">
        <v>37</v>
      </c>
      <c r="AF4" s="7">
        <v>10.7</v>
      </c>
      <c r="AG4" s="7">
        <v>4</v>
      </c>
      <c r="AH4" s="7">
        <f>AF4/AG4</f>
        <v>2.6749999999999998</v>
      </c>
    </row>
    <row r="5" spans="1:37" x14ac:dyDescent="0.4">
      <c r="A5" s="3"/>
      <c r="C5" s="13">
        <v>-20</v>
      </c>
      <c r="D5" s="2"/>
      <c r="E5" s="5"/>
      <c r="F5" s="5"/>
      <c r="G5" s="5">
        <v>11.5</v>
      </c>
      <c r="H5" s="5">
        <v>6.05</v>
      </c>
      <c r="I5" s="16"/>
      <c r="J5" s="5"/>
      <c r="K5" s="5">
        <v>1.9008264462809918</v>
      </c>
      <c r="L5" s="17"/>
      <c r="M5" s="6">
        <v>55</v>
      </c>
      <c r="N5" s="13"/>
      <c r="O5" s="13">
        <v>-20</v>
      </c>
      <c r="P5" s="13"/>
      <c r="Q5" s="5"/>
      <c r="R5" s="5"/>
      <c r="S5" s="5">
        <v>8.6999999999999993</v>
      </c>
      <c r="T5" s="5">
        <v>6</v>
      </c>
      <c r="U5" s="5"/>
      <c r="V5" s="5"/>
      <c r="W5" s="5">
        <v>1.45</v>
      </c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7" x14ac:dyDescent="0.4">
      <c r="A6" s="3"/>
      <c r="C6" s="2">
        <v>-15</v>
      </c>
      <c r="D6" s="2"/>
      <c r="E6" s="5"/>
      <c r="F6" s="5"/>
      <c r="G6" s="5">
        <v>12</v>
      </c>
      <c r="H6" s="5">
        <v>4.9000000000000004</v>
      </c>
      <c r="I6" s="16"/>
      <c r="J6" s="5"/>
      <c r="K6" s="5">
        <v>2.4489795918367343</v>
      </c>
      <c r="L6" s="17"/>
      <c r="M6" s="6">
        <v>55</v>
      </c>
      <c r="N6" s="13"/>
      <c r="O6" s="13">
        <v>-15</v>
      </c>
      <c r="P6" s="13"/>
      <c r="Q6" s="5"/>
      <c r="R6" s="5"/>
      <c r="S6" s="5">
        <v>10.5</v>
      </c>
      <c r="T6" s="5">
        <v>6.2</v>
      </c>
      <c r="U6" s="5"/>
      <c r="V6" s="5"/>
      <c r="W6" s="5">
        <v>1.6935483870967742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11.42</v>
      </c>
      <c r="AG6" s="7">
        <v>4.2</v>
      </c>
      <c r="AH6" s="7">
        <f>AF6/AG6</f>
        <v>2.7190476190476187</v>
      </c>
    </row>
    <row r="7" spans="1:37" x14ac:dyDescent="0.4">
      <c r="A7" s="3"/>
      <c r="C7" s="2">
        <v>-10</v>
      </c>
      <c r="D7" s="2"/>
      <c r="E7" s="5"/>
      <c r="F7" s="5"/>
      <c r="G7" s="5"/>
      <c r="H7" s="5"/>
      <c r="I7" s="16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9</v>
      </c>
      <c r="AA7" s="5">
        <v>2.9</v>
      </c>
      <c r="AB7" s="5">
        <v>9</v>
      </c>
      <c r="AC7" s="5">
        <v>2.04</v>
      </c>
      <c r="AD7" s="13"/>
      <c r="AE7" s="13" t="s">
        <v>40</v>
      </c>
      <c r="AF7" s="7">
        <v>10.7</v>
      </c>
      <c r="AG7" s="7">
        <v>2.73</v>
      </c>
      <c r="AH7" s="7">
        <f>AF7/AG7</f>
        <v>3.9194139194139193</v>
      </c>
    </row>
    <row r="8" spans="1:37" x14ac:dyDescent="0.4">
      <c r="A8" s="3"/>
      <c r="C8" s="2">
        <v>-7</v>
      </c>
      <c r="D8" s="2"/>
      <c r="E8" s="5"/>
      <c r="F8" s="5"/>
      <c r="G8" s="5">
        <v>12</v>
      </c>
      <c r="H8" s="5">
        <v>4.41</v>
      </c>
      <c r="I8" s="16"/>
      <c r="J8" s="5"/>
      <c r="K8" s="5">
        <v>2.7210884353741496</v>
      </c>
      <c r="L8" s="17"/>
      <c r="M8" s="6">
        <v>60</v>
      </c>
      <c r="N8" s="13"/>
      <c r="O8" s="13">
        <v>-7</v>
      </c>
      <c r="P8" s="13"/>
      <c r="Q8" s="5"/>
      <c r="R8" s="5"/>
      <c r="S8" s="5">
        <v>12</v>
      </c>
      <c r="T8" s="5">
        <v>5.24</v>
      </c>
      <c r="U8" s="5"/>
      <c r="V8" s="5"/>
      <c r="W8" s="5">
        <v>2.2900763358778624</v>
      </c>
      <c r="X8" s="19"/>
      <c r="Y8" s="5">
        <f>AA8*(1.029-(0.05*Z8/G10))</f>
        <v>3.0276641322314046</v>
      </c>
      <c r="Z8" s="5">
        <v>8</v>
      </c>
      <c r="AA8" s="5">
        <v>3.04</v>
      </c>
      <c r="AB8" s="5">
        <v>8</v>
      </c>
      <c r="AC8" s="5">
        <v>2.33</v>
      </c>
      <c r="AD8" s="13"/>
      <c r="AE8" s="13"/>
      <c r="AF8" s="34"/>
      <c r="AG8" s="34"/>
      <c r="AH8" s="33"/>
      <c r="AK8" s="23"/>
    </row>
    <row r="9" spans="1:37" x14ac:dyDescent="0.4">
      <c r="A9" s="3"/>
      <c r="C9" s="2">
        <v>2</v>
      </c>
      <c r="D9" s="2"/>
      <c r="E9" s="5"/>
      <c r="F9" s="5"/>
      <c r="G9" s="5">
        <v>12</v>
      </c>
      <c r="H9" s="5">
        <v>3.49</v>
      </c>
      <c r="I9" s="16"/>
      <c r="J9" s="5"/>
      <c r="K9" s="5">
        <v>3.4383954154727792</v>
      </c>
      <c r="L9" s="17"/>
      <c r="M9" s="6">
        <v>60</v>
      </c>
      <c r="N9" s="13"/>
      <c r="O9" s="13">
        <v>2</v>
      </c>
      <c r="P9" s="13"/>
      <c r="Q9" s="5"/>
      <c r="R9" s="5"/>
      <c r="S9" s="5">
        <v>12</v>
      </c>
      <c r="T9" s="5">
        <v>5.24</v>
      </c>
      <c r="U9" s="5"/>
      <c r="V9" s="5"/>
      <c r="W9" s="5">
        <v>2.2900763358778624</v>
      </c>
      <c r="X9" s="19"/>
      <c r="Y9" s="5">
        <f>AA9*(0.906-(0.044*Z9/G10))</f>
        <v>4.3787363636363636</v>
      </c>
      <c r="Z9" s="5">
        <v>4.9000000000000004</v>
      </c>
      <c r="AA9" s="5">
        <v>4.93</v>
      </c>
      <c r="AB9" s="5">
        <v>4.9000000000000004</v>
      </c>
      <c r="AC9" s="5">
        <v>3.46</v>
      </c>
      <c r="AD9" s="13"/>
      <c r="AE9" s="13"/>
      <c r="AF9" s="34"/>
      <c r="AG9" s="34"/>
      <c r="AH9" s="33"/>
      <c r="AK9" s="23"/>
    </row>
    <row r="10" spans="1:37" x14ac:dyDescent="0.4">
      <c r="A10" s="3"/>
      <c r="C10" s="2">
        <v>7</v>
      </c>
      <c r="D10" s="2"/>
      <c r="E10" s="5"/>
      <c r="F10" s="5"/>
      <c r="G10" s="5">
        <v>12.1</v>
      </c>
      <c r="H10" s="5">
        <v>2.5</v>
      </c>
      <c r="I10" s="16"/>
      <c r="J10" s="5"/>
      <c r="K10" s="5">
        <v>4.84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12.1</v>
      </c>
      <c r="T10" s="5">
        <v>3.98</v>
      </c>
      <c r="U10" s="5"/>
      <c r="V10" s="5"/>
      <c r="W10" s="5">
        <v>3.0402010050251254</v>
      </c>
      <c r="X10" s="19"/>
      <c r="Y10" s="5">
        <f>K10</f>
        <v>4.84</v>
      </c>
      <c r="Z10" s="5">
        <v>5.4</v>
      </c>
      <c r="AA10" s="5">
        <v>6.26</v>
      </c>
      <c r="AB10" s="5">
        <v>5.0999999999999996</v>
      </c>
      <c r="AC10" s="5">
        <v>4.4800000000000004</v>
      </c>
      <c r="AD10" s="13"/>
      <c r="AE10" s="13"/>
      <c r="AF10" s="34"/>
      <c r="AG10" s="34"/>
      <c r="AH10" s="33"/>
      <c r="AK10" s="23"/>
    </row>
    <row r="11" spans="1:37" x14ac:dyDescent="0.4">
      <c r="A11" s="3"/>
      <c r="C11" s="2">
        <v>12</v>
      </c>
      <c r="D11" s="2"/>
      <c r="E11" s="5"/>
      <c r="F11" s="5"/>
      <c r="G11" s="5"/>
      <c r="H11" s="5"/>
      <c r="I11" s="16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6.3</v>
      </c>
      <c r="AA11" s="5">
        <v>8.19</v>
      </c>
      <c r="AB11" s="5">
        <v>6.1</v>
      </c>
      <c r="AC11" s="5">
        <v>6.02</v>
      </c>
      <c r="AD11" s="13"/>
      <c r="AE11" s="13"/>
      <c r="AF11" s="34"/>
      <c r="AG11" s="34"/>
      <c r="AH11" s="33"/>
    </row>
    <row r="12" spans="1:37" x14ac:dyDescent="0.4">
      <c r="A12" s="8"/>
      <c r="B12" s="8"/>
      <c r="C12" s="9"/>
      <c r="D12" s="9"/>
      <c r="E12" s="18"/>
      <c r="F12" s="18"/>
      <c r="G12" s="30"/>
      <c r="H12" s="30"/>
      <c r="I12" s="30"/>
      <c r="J12" s="30"/>
      <c r="K12" s="30"/>
      <c r="L12" s="18"/>
      <c r="M12" s="30"/>
      <c r="N12" s="14"/>
      <c r="O12" s="14"/>
      <c r="P12" s="14"/>
      <c r="Q12" s="18"/>
      <c r="R12" s="18"/>
      <c r="S12" s="30"/>
      <c r="T12" s="30"/>
      <c r="U12" s="30"/>
      <c r="V12" s="30"/>
      <c r="W12" s="30"/>
      <c r="X12" s="18"/>
      <c r="Y12" s="31"/>
      <c r="Z12" s="31"/>
      <c r="AA12" s="31"/>
      <c r="AB12" s="31"/>
      <c r="AC12" s="31"/>
      <c r="AD12" s="14"/>
      <c r="AE12" s="14"/>
      <c r="AF12" s="30"/>
      <c r="AG12" s="30"/>
      <c r="AH12" s="30"/>
    </row>
    <row r="13" spans="1:37" x14ac:dyDescent="0.4">
      <c r="S13" s="33"/>
      <c r="T13" s="33"/>
      <c r="U13" s="33"/>
      <c r="V13" s="33"/>
      <c r="W13" s="33"/>
      <c r="Y13" s="33"/>
      <c r="Z13" s="33"/>
      <c r="AA13" s="33"/>
      <c r="AB13" s="33"/>
      <c r="AC13" s="33"/>
      <c r="AF13" s="33"/>
      <c r="AG13" s="33"/>
      <c r="AH13" s="33"/>
    </row>
    <row r="14" spans="1:37" x14ac:dyDescent="0.4">
      <c r="S14" s="33"/>
      <c r="T14" s="33"/>
      <c r="U14" s="33"/>
      <c r="V14" s="33"/>
      <c r="W14" s="33"/>
      <c r="Y14" s="33"/>
      <c r="Z14" s="33"/>
      <c r="AA14" s="33"/>
      <c r="AB14" s="33"/>
      <c r="AC14" s="33"/>
      <c r="AF14" s="33"/>
      <c r="AG14" s="33"/>
      <c r="AH14" s="33"/>
    </row>
    <row r="15" spans="1:37" x14ac:dyDescent="0.4">
      <c r="A15"/>
      <c r="AF15" s="33"/>
      <c r="AG15" s="33"/>
      <c r="AH15" s="33"/>
    </row>
    <row r="16" spans="1:37" x14ac:dyDescent="0.4">
      <c r="A16"/>
      <c r="F16" s="10"/>
      <c r="AF16" s="33"/>
      <c r="AG16" s="33"/>
      <c r="AH16" s="33"/>
    </row>
    <row r="17" spans="1:34" x14ac:dyDescent="0.4">
      <c r="A17"/>
      <c r="F17" s="11"/>
      <c r="AF17" s="33"/>
      <c r="AG17" s="33"/>
      <c r="AH17" s="33"/>
    </row>
    <row r="18" spans="1:34" x14ac:dyDescent="0.4">
      <c r="A18"/>
      <c r="AF18" s="33"/>
      <c r="AG18" s="33"/>
      <c r="AH18" s="33"/>
    </row>
    <row r="19" spans="1:34" x14ac:dyDescent="0.4">
      <c r="AF19" s="33"/>
      <c r="AG19" s="33"/>
      <c r="AH19" s="33"/>
    </row>
    <row r="20" spans="1:34" x14ac:dyDescent="0.4">
      <c r="A20"/>
      <c r="AF20" s="33"/>
      <c r="AG20" s="33"/>
      <c r="AH20" s="33"/>
    </row>
    <row r="21" spans="1:34" x14ac:dyDescent="0.4">
      <c r="A21"/>
      <c r="AF21" s="33"/>
      <c r="AG21" s="33"/>
      <c r="AH21" s="33"/>
    </row>
    <row r="22" spans="1:34" x14ac:dyDescent="0.4">
      <c r="A22"/>
    </row>
    <row r="23" spans="1:34" x14ac:dyDescent="0.4">
      <c r="A23"/>
    </row>
    <row r="24" spans="1:34" x14ac:dyDescent="0.4">
      <c r="A24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137B-9804-4AE6-B41A-84D5F85E0CE6}">
  <sheetPr>
    <tabColor theme="4"/>
  </sheetPr>
  <dimension ref="A1:AK87"/>
  <sheetViews>
    <sheetView zoomScaleNormal="100" workbookViewId="0">
      <pane xSplit="3" ySplit="3" topLeftCell="D4" activePane="bottomRight" state="frozen"/>
      <selection activeCell="AF12" sqref="AF12"/>
      <selection pane="topRight" activeCell="AF12" sqref="AF12"/>
      <selection pane="bottomLeft" activeCell="AF12" sqref="AF12"/>
      <selection pane="bottomRight" activeCell="B13" sqref="B13"/>
    </sheetView>
  </sheetViews>
  <sheetFormatPr baseColWidth="10" defaultColWidth="11.4609375" defaultRowHeight="14.6" outlineLevelRow="1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s="1" customFormat="1" x14ac:dyDescent="0.4">
      <c r="A4" s="3" t="s">
        <v>77</v>
      </c>
      <c r="B4" s="1" t="s">
        <v>78</v>
      </c>
      <c r="C4" s="4">
        <v>-28</v>
      </c>
      <c r="D4" s="2"/>
      <c r="E4" s="5"/>
      <c r="F4" s="5"/>
      <c r="G4" s="5"/>
      <c r="H4" s="5"/>
      <c r="I4" s="16"/>
      <c r="J4" s="5"/>
      <c r="K4" s="5"/>
      <c r="L4" s="17"/>
      <c r="M4" s="6">
        <v>55</v>
      </c>
      <c r="N4" s="13"/>
      <c r="O4" s="4">
        <v>-28</v>
      </c>
      <c r="P4" s="13"/>
      <c r="Q4" s="5"/>
      <c r="R4" s="5"/>
      <c r="S4" s="5"/>
      <c r="T4" s="5"/>
      <c r="U4" s="5"/>
      <c r="V4" s="5"/>
      <c r="W4" s="5"/>
      <c r="X4" s="4">
        <v>3</v>
      </c>
      <c r="Y4" s="17"/>
      <c r="Z4" s="5"/>
      <c r="AA4" s="5"/>
      <c r="AB4" s="5"/>
      <c r="AC4" s="5"/>
      <c r="AD4" s="13"/>
      <c r="AE4" s="13" t="s">
        <v>37</v>
      </c>
      <c r="AF4" s="7">
        <v>8.8000000000000007</v>
      </c>
      <c r="AG4" s="7">
        <v>2.83</v>
      </c>
      <c r="AH4" s="7">
        <f>AF4/AG4</f>
        <v>3.1095406360424032</v>
      </c>
    </row>
    <row r="5" spans="1:37" x14ac:dyDescent="0.4">
      <c r="A5" s="3"/>
      <c r="C5" s="13">
        <v>-20</v>
      </c>
      <c r="D5" s="2"/>
      <c r="E5" s="5"/>
      <c r="F5" s="5"/>
      <c r="G5" s="5">
        <v>8.8000000000000007</v>
      </c>
      <c r="H5" s="5">
        <v>4.79</v>
      </c>
      <c r="I5" s="16"/>
      <c r="J5" s="5"/>
      <c r="K5" s="5">
        <f>G5/H5</f>
        <v>1.8371607515657622</v>
      </c>
      <c r="L5" s="17"/>
      <c r="M5" s="6">
        <v>55</v>
      </c>
      <c r="N5" s="13"/>
      <c r="O5" s="13">
        <v>-20</v>
      </c>
      <c r="P5" s="13"/>
      <c r="Q5" s="5"/>
      <c r="R5" s="5"/>
      <c r="S5" s="5">
        <v>8.5500000000000007</v>
      </c>
      <c r="T5" s="5">
        <v>5.9</v>
      </c>
      <c r="U5" s="5"/>
      <c r="V5" s="5"/>
      <c r="W5" s="5">
        <f>S5/T5</f>
        <v>1.4491525423728815</v>
      </c>
      <c r="X5" s="19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7" x14ac:dyDescent="0.4">
      <c r="A6" s="3"/>
      <c r="C6" s="2">
        <v>-15</v>
      </c>
      <c r="D6" s="2"/>
      <c r="E6" s="5"/>
      <c r="F6" s="5"/>
      <c r="G6" s="5">
        <v>9</v>
      </c>
      <c r="H6" s="5">
        <v>3.45</v>
      </c>
      <c r="I6" s="16"/>
      <c r="J6" s="5"/>
      <c r="K6" s="5">
        <f>G6/H6</f>
        <v>2.6086956521739131</v>
      </c>
      <c r="L6" s="17"/>
      <c r="M6" s="6">
        <v>55</v>
      </c>
      <c r="N6" s="13"/>
      <c r="O6" s="13">
        <v>-15</v>
      </c>
      <c r="P6" s="13"/>
      <c r="Q6" s="5"/>
      <c r="R6" s="5"/>
      <c r="S6" s="5">
        <v>9</v>
      </c>
      <c r="T6" s="5">
        <v>4.95</v>
      </c>
      <c r="U6" s="5"/>
      <c r="V6" s="5"/>
      <c r="W6" s="5">
        <f>S6/T6</f>
        <v>1.8181818181818181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9.07</v>
      </c>
      <c r="AG6" s="7">
        <v>3.01</v>
      </c>
      <c r="AH6" s="7">
        <f>AF6/AG6</f>
        <v>3.0132890365448506</v>
      </c>
    </row>
    <row r="7" spans="1:37" x14ac:dyDescent="0.4">
      <c r="A7" s="3"/>
      <c r="C7" s="2">
        <v>-10</v>
      </c>
      <c r="D7" s="2"/>
      <c r="E7" s="5"/>
      <c r="F7" s="5"/>
      <c r="G7" s="5"/>
      <c r="H7" s="5"/>
      <c r="I7" s="16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9</v>
      </c>
      <c r="AA7" s="5">
        <v>2.9</v>
      </c>
      <c r="AB7" s="5">
        <v>9</v>
      </c>
      <c r="AC7" s="5">
        <v>2.04</v>
      </c>
      <c r="AD7" s="13"/>
      <c r="AE7" s="13" t="s">
        <v>40</v>
      </c>
      <c r="AF7" s="7">
        <v>8.8000000000000007</v>
      </c>
      <c r="AG7" s="7">
        <v>1.9</v>
      </c>
      <c r="AH7" s="7">
        <f>AF7/AG7</f>
        <v>4.6315789473684212</v>
      </c>
    </row>
    <row r="8" spans="1:37" x14ac:dyDescent="0.4">
      <c r="A8" s="3"/>
      <c r="C8" s="2">
        <v>-7</v>
      </c>
      <c r="D8" s="2"/>
      <c r="E8" s="5"/>
      <c r="F8" s="5"/>
      <c r="G8" s="5">
        <v>9</v>
      </c>
      <c r="H8" s="5">
        <v>3</v>
      </c>
      <c r="I8" s="16"/>
      <c r="J8" s="5"/>
      <c r="K8" s="5">
        <f>G8/H8</f>
        <v>3</v>
      </c>
      <c r="L8" s="17"/>
      <c r="M8" s="6">
        <v>60</v>
      </c>
      <c r="N8" s="13"/>
      <c r="O8" s="13">
        <v>-7</v>
      </c>
      <c r="P8" s="13"/>
      <c r="Q8" s="5"/>
      <c r="R8" s="5"/>
      <c r="S8" s="5">
        <v>9</v>
      </c>
      <c r="T8" s="5">
        <v>4.28</v>
      </c>
      <c r="U8" s="5"/>
      <c r="V8" s="5"/>
      <c r="W8" s="5">
        <f>S8/T8</f>
        <v>2.1028037383177569</v>
      </c>
      <c r="X8" s="19"/>
      <c r="Y8" s="5">
        <f>AA8*(1.029-(0.05*Z8/G10))</f>
        <v>2.9930488888888886</v>
      </c>
      <c r="Z8" s="5">
        <v>8</v>
      </c>
      <c r="AA8" s="5">
        <v>3.04</v>
      </c>
      <c r="AB8" s="5">
        <v>8</v>
      </c>
      <c r="AC8" s="5">
        <v>2.33</v>
      </c>
      <c r="AD8" s="13"/>
      <c r="AE8" s="13"/>
      <c r="AF8" s="34"/>
      <c r="AG8" s="34"/>
      <c r="AH8" s="33"/>
      <c r="AK8" s="23"/>
    </row>
    <row r="9" spans="1:37" x14ac:dyDescent="0.4">
      <c r="A9" s="3"/>
      <c r="C9" s="2">
        <v>2</v>
      </c>
      <c r="D9" s="2"/>
      <c r="E9" s="5"/>
      <c r="F9" s="5"/>
      <c r="G9" s="5">
        <v>9</v>
      </c>
      <c r="H9" s="5">
        <v>2.44</v>
      </c>
      <c r="I9" s="16"/>
      <c r="J9" s="5"/>
      <c r="K9" s="5">
        <f>G9/H9</f>
        <v>3.6885245901639343</v>
      </c>
      <c r="L9" s="17"/>
      <c r="M9" s="6">
        <v>60</v>
      </c>
      <c r="N9" s="13"/>
      <c r="O9" s="13">
        <v>2</v>
      </c>
      <c r="P9" s="13"/>
      <c r="Q9" s="5"/>
      <c r="R9" s="5"/>
      <c r="S9" s="5">
        <v>9</v>
      </c>
      <c r="T9" s="5">
        <v>3.9</v>
      </c>
      <c r="U9" s="5"/>
      <c r="V9" s="5"/>
      <c r="W9" s="5">
        <f>S9/T9</f>
        <v>2.3076923076923079</v>
      </c>
      <c r="X9" s="19"/>
      <c r="Y9" s="5">
        <f>AA9*(0.906-(0.044*Z9/G10))</f>
        <v>4.3484791111111116</v>
      </c>
      <c r="Z9" s="5">
        <v>4.9000000000000004</v>
      </c>
      <c r="AA9" s="5">
        <v>4.93</v>
      </c>
      <c r="AB9" s="5">
        <v>4.9000000000000004</v>
      </c>
      <c r="AC9" s="5">
        <v>3.46</v>
      </c>
      <c r="AD9" s="13"/>
      <c r="AE9" s="13"/>
      <c r="AF9" s="34"/>
      <c r="AG9" s="34"/>
      <c r="AH9" s="33"/>
      <c r="AK9" s="23"/>
    </row>
    <row r="10" spans="1:37" x14ac:dyDescent="0.4">
      <c r="A10" s="3"/>
      <c r="C10" s="2">
        <v>7</v>
      </c>
      <c r="D10" s="2"/>
      <c r="E10" s="5"/>
      <c r="F10" s="5"/>
      <c r="G10" s="5">
        <v>9</v>
      </c>
      <c r="H10" s="5">
        <v>1.79</v>
      </c>
      <c r="I10" s="16"/>
      <c r="J10" s="5"/>
      <c r="K10" s="5">
        <f>G10/H10</f>
        <v>5.027932960893855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9</v>
      </c>
      <c r="T10" s="5">
        <v>2.93</v>
      </c>
      <c r="U10" s="5"/>
      <c r="V10" s="5"/>
      <c r="W10" s="5">
        <f>S10/T10</f>
        <v>3.0716723549488054</v>
      </c>
      <c r="X10" s="19"/>
      <c r="Y10" s="5">
        <f>K10</f>
        <v>5.027932960893855</v>
      </c>
      <c r="Z10" s="5">
        <v>5.4</v>
      </c>
      <c r="AA10" s="5">
        <v>6.26</v>
      </c>
      <c r="AB10" s="5">
        <v>5.0999999999999996</v>
      </c>
      <c r="AC10" s="5">
        <v>4.4800000000000004</v>
      </c>
      <c r="AD10" s="13"/>
      <c r="AE10" s="13"/>
      <c r="AF10" s="34"/>
      <c r="AG10" s="34"/>
      <c r="AH10" s="33"/>
      <c r="AK10" s="23"/>
    </row>
    <row r="11" spans="1:37" x14ac:dyDescent="0.4">
      <c r="A11" s="3"/>
      <c r="C11" s="2">
        <v>12</v>
      </c>
      <c r="D11" s="2"/>
      <c r="E11" s="5"/>
      <c r="F11" s="5"/>
      <c r="G11" s="5"/>
      <c r="H11" s="5"/>
      <c r="I11" s="16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6.3</v>
      </c>
      <c r="AA11" s="5">
        <v>8.19</v>
      </c>
      <c r="AB11" s="5">
        <v>6.1</v>
      </c>
      <c r="AC11" s="5">
        <v>6.02</v>
      </c>
      <c r="AD11" s="13"/>
      <c r="AE11" s="13"/>
      <c r="AF11" s="34"/>
      <c r="AG11" s="34"/>
      <c r="AH11" s="33"/>
    </row>
    <row r="12" spans="1:37" x14ac:dyDescent="0.4">
      <c r="A12" s="8"/>
      <c r="B12" s="8"/>
      <c r="C12" s="9"/>
      <c r="D12" s="9"/>
      <c r="E12" s="18"/>
      <c r="F12" s="18"/>
      <c r="G12" s="18"/>
      <c r="H12" s="18"/>
      <c r="I12" s="18"/>
      <c r="J12" s="18"/>
      <c r="K12" s="18"/>
      <c r="L12" s="18"/>
      <c r="M12" s="18"/>
      <c r="N12" s="14"/>
      <c r="O12" s="14"/>
      <c r="P12" s="14"/>
      <c r="Q12" s="18"/>
      <c r="R12" s="18"/>
      <c r="S12" s="18"/>
      <c r="T12" s="18"/>
      <c r="U12" s="18"/>
      <c r="V12" s="18"/>
      <c r="W12" s="18"/>
      <c r="X12" s="18"/>
      <c r="Y12" s="22"/>
      <c r="Z12" s="22"/>
      <c r="AA12" s="22"/>
      <c r="AB12" s="22"/>
      <c r="AC12" s="22"/>
      <c r="AD12" s="14"/>
      <c r="AE12" s="14"/>
      <c r="AF12" s="30"/>
      <c r="AG12" s="30"/>
      <c r="AH12" s="30"/>
    </row>
    <row r="13" spans="1:37" x14ac:dyDescent="0.4">
      <c r="A13" s="3" t="s">
        <v>79</v>
      </c>
      <c r="B13" s="1" t="s">
        <v>78</v>
      </c>
      <c r="C13" s="4">
        <v>-28</v>
      </c>
      <c r="D13" s="2"/>
      <c r="E13" s="5"/>
      <c r="F13" s="5"/>
      <c r="G13" s="5"/>
      <c r="H13" s="5"/>
      <c r="I13" s="16"/>
      <c r="J13" s="5"/>
      <c r="K13" s="5"/>
      <c r="L13" s="17"/>
      <c r="M13" s="6">
        <v>55</v>
      </c>
      <c r="N13" s="13"/>
      <c r="O13" s="4">
        <v>-28</v>
      </c>
      <c r="P13" s="13"/>
      <c r="Q13" s="5"/>
      <c r="R13" s="5"/>
      <c r="S13" s="5"/>
      <c r="T13" s="5"/>
      <c r="U13" s="5"/>
      <c r="V13" s="5"/>
      <c r="W13" s="5"/>
      <c r="X13" s="4">
        <v>9</v>
      </c>
      <c r="Y13" s="17"/>
      <c r="Z13" s="5"/>
      <c r="AA13" s="5"/>
      <c r="AB13" s="5"/>
      <c r="AC13" s="5"/>
      <c r="AD13" s="13"/>
      <c r="AE13" s="13" t="s">
        <v>37</v>
      </c>
      <c r="AF13" s="7">
        <v>8.8000000000000007</v>
      </c>
      <c r="AG13" s="7">
        <v>2.83</v>
      </c>
      <c r="AH13" s="7">
        <f>AF13/AG13</f>
        <v>3.1095406360424032</v>
      </c>
    </row>
    <row r="14" spans="1:37" x14ac:dyDescent="0.4">
      <c r="A14" s="3"/>
      <c r="C14" s="13">
        <v>-20</v>
      </c>
      <c r="D14" s="2"/>
      <c r="E14" s="5"/>
      <c r="F14" s="5"/>
      <c r="G14" s="5">
        <v>8.8000000000000007</v>
      </c>
      <c r="H14" s="5">
        <v>4.79</v>
      </c>
      <c r="I14" s="16"/>
      <c r="J14" s="5"/>
      <c r="K14" s="5">
        <f>G14/H14</f>
        <v>1.8371607515657622</v>
      </c>
      <c r="L14" s="17"/>
      <c r="M14" s="6">
        <v>55</v>
      </c>
      <c r="N14" s="13"/>
      <c r="O14" s="13">
        <v>-20</v>
      </c>
      <c r="P14" s="13"/>
      <c r="Q14" s="5"/>
      <c r="R14" s="5"/>
      <c r="S14" s="5">
        <v>8.5500000000000007</v>
      </c>
      <c r="T14" s="5">
        <v>5.9</v>
      </c>
      <c r="U14" s="5"/>
      <c r="V14" s="5"/>
      <c r="W14" s="5">
        <f>S14/T14</f>
        <v>1.4491525423728815</v>
      </c>
      <c r="X14" s="19"/>
      <c r="Y14" s="17"/>
      <c r="Z14" s="5"/>
      <c r="AA14" s="5"/>
      <c r="AB14" s="5"/>
      <c r="AC14" s="5"/>
      <c r="AD14" s="13"/>
      <c r="AE14" s="13"/>
      <c r="AF14" s="7"/>
      <c r="AG14" s="7"/>
      <c r="AH14" s="7"/>
    </row>
    <row r="15" spans="1:37" x14ac:dyDescent="0.4">
      <c r="A15" s="3"/>
      <c r="C15" s="2">
        <v>-15</v>
      </c>
      <c r="D15" s="2"/>
      <c r="E15" s="5"/>
      <c r="F15" s="5"/>
      <c r="G15" s="5">
        <v>9</v>
      </c>
      <c r="H15" s="5">
        <v>3.45</v>
      </c>
      <c r="I15" s="16"/>
      <c r="J15" s="5"/>
      <c r="K15" s="5">
        <f>G15/H15</f>
        <v>2.6086956521739131</v>
      </c>
      <c r="L15" s="17"/>
      <c r="M15" s="6">
        <v>55</v>
      </c>
      <c r="N15" s="13"/>
      <c r="O15" s="13">
        <v>-15</v>
      </c>
      <c r="P15" s="13"/>
      <c r="Q15" s="5"/>
      <c r="R15" s="5"/>
      <c r="S15" s="5">
        <v>9</v>
      </c>
      <c r="T15" s="5">
        <v>4.95</v>
      </c>
      <c r="U15" s="5"/>
      <c r="V15" s="5"/>
      <c r="W15" s="5">
        <f>S15/T15</f>
        <v>1.8181818181818181</v>
      </c>
      <c r="X15" s="19"/>
      <c r="Y15" s="17"/>
      <c r="Z15" s="5"/>
      <c r="AA15" s="5"/>
      <c r="AB15" s="5"/>
      <c r="AC15" s="5"/>
      <c r="AD15" s="13"/>
      <c r="AE15" s="13" t="s">
        <v>38</v>
      </c>
      <c r="AF15" s="7">
        <v>9.07</v>
      </c>
      <c r="AG15" s="7">
        <v>3.01</v>
      </c>
      <c r="AH15" s="7">
        <f>AF15/AG15</f>
        <v>3.0132890365448506</v>
      </c>
    </row>
    <row r="16" spans="1:37" x14ac:dyDescent="0.4">
      <c r="A16" s="3"/>
      <c r="C16" s="2">
        <v>-10</v>
      </c>
      <c r="D16" s="2"/>
      <c r="E16" s="5"/>
      <c r="F16" s="5"/>
      <c r="G16" s="5"/>
      <c r="H16" s="5"/>
      <c r="I16" s="16"/>
      <c r="J16" s="5"/>
      <c r="K16" s="5"/>
      <c r="L16" s="17"/>
      <c r="M16" s="6">
        <v>60</v>
      </c>
      <c r="N16" s="13"/>
      <c r="O16" s="13">
        <v>-10</v>
      </c>
      <c r="P16" s="13"/>
      <c r="Q16" s="5"/>
      <c r="R16" s="5"/>
      <c r="S16" s="5"/>
      <c r="T16" s="5"/>
      <c r="U16" s="5"/>
      <c r="V16" s="5"/>
      <c r="W16" s="5"/>
      <c r="X16" s="19"/>
      <c r="Y16" s="17" t="s">
        <v>39</v>
      </c>
      <c r="Z16" s="5">
        <v>9</v>
      </c>
      <c r="AA16" s="5">
        <v>2.9</v>
      </c>
      <c r="AB16" s="5">
        <v>9</v>
      </c>
      <c r="AC16" s="5">
        <v>2.04</v>
      </c>
      <c r="AD16" s="13"/>
      <c r="AE16" s="13" t="s">
        <v>40</v>
      </c>
      <c r="AF16" s="7">
        <v>8.8000000000000007</v>
      </c>
      <c r="AG16" s="7">
        <v>1.9</v>
      </c>
      <c r="AH16" s="7">
        <f>AF16/AG16</f>
        <v>4.6315789473684212</v>
      </c>
    </row>
    <row r="17" spans="1:34" x14ac:dyDescent="0.4">
      <c r="A17" s="3"/>
      <c r="C17" s="2">
        <v>-7</v>
      </c>
      <c r="D17" s="2"/>
      <c r="E17" s="5"/>
      <c r="F17" s="5"/>
      <c r="G17" s="5">
        <v>9</v>
      </c>
      <c r="H17" s="5">
        <v>3</v>
      </c>
      <c r="I17" s="16"/>
      <c r="J17" s="5"/>
      <c r="K17" s="5">
        <f>G17/H17</f>
        <v>3</v>
      </c>
      <c r="L17" s="17"/>
      <c r="M17" s="6">
        <v>60</v>
      </c>
      <c r="N17" s="13"/>
      <c r="O17" s="13">
        <v>-7</v>
      </c>
      <c r="P17" s="13"/>
      <c r="Q17" s="5"/>
      <c r="R17" s="5"/>
      <c r="S17" s="5">
        <v>9</v>
      </c>
      <c r="T17" s="5">
        <v>4.28</v>
      </c>
      <c r="U17" s="5"/>
      <c r="V17" s="5"/>
      <c r="W17" s="5">
        <f>S17/T17</f>
        <v>2.1028037383177569</v>
      </c>
      <c r="X17" s="19"/>
      <c r="Y17" s="5">
        <f>AA17*(1.029-(0.05*Z17/G19))</f>
        <v>2.9930488888888886</v>
      </c>
      <c r="Z17" s="5">
        <v>8</v>
      </c>
      <c r="AA17" s="5">
        <v>3.04</v>
      </c>
      <c r="AB17" s="5">
        <v>8</v>
      </c>
      <c r="AC17" s="5">
        <v>2.33</v>
      </c>
      <c r="AD17" s="13"/>
      <c r="AE17" s="13"/>
      <c r="AF17" s="34"/>
      <c r="AG17" s="34"/>
      <c r="AH17" s="33"/>
    </row>
    <row r="18" spans="1:34" x14ac:dyDescent="0.4">
      <c r="A18" s="3"/>
      <c r="C18" s="2">
        <v>2</v>
      </c>
      <c r="D18" s="2"/>
      <c r="E18" s="5"/>
      <c r="F18" s="5"/>
      <c r="G18" s="5">
        <v>9</v>
      </c>
      <c r="H18" s="5">
        <v>2.44</v>
      </c>
      <c r="I18" s="16"/>
      <c r="J18" s="5"/>
      <c r="K18" s="5">
        <f>G18/H18</f>
        <v>3.6885245901639343</v>
      </c>
      <c r="L18" s="17"/>
      <c r="M18" s="6">
        <v>60</v>
      </c>
      <c r="N18" s="13"/>
      <c r="O18" s="13">
        <v>2</v>
      </c>
      <c r="P18" s="13"/>
      <c r="Q18" s="5"/>
      <c r="R18" s="5"/>
      <c r="S18" s="5">
        <v>9</v>
      </c>
      <c r="T18" s="5">
        <v>3.9</v>
      </c>
      <c r="U18" s="5"/>
      <c r="V18" s="5"/>
      <c r="W18" s="5">
        <f>S18/T18</f>
        <v>2.3076923076923079</v>
      </c>
      <c r="X18" s="19"/>
      <c r="Y18" s="5">
        <f>AA18*(0.906-(0.044*Z18/G19))</f>
        <v>4.3484791111111116</v>
      </c>
      <c r="Z18" s="5">
        <v>4.9000000000000004</v>
      </c>
      <c r="AA18" s="5">
        <v>4.93</v>
      </c>
      <c r="AB18" s="5">
        <v>4.9000000000000004</v>
      </c>
      <c r="AC18" s="5">
        <v>3.46</v>
      </c>
      <c r="AD18" s="13"/>
      <c r="AE18" s="13"/>
      <c r="AF18" s="34"/>
      <c r="AG18" s="34"/>
      <c r="AH18" s="33"/>
    </row>
    <row r="19" spans="1:34" x14ac:dyDescent="0.4">
      <c r="A19" s="3"/>
      <c r="C19" s="2">
        <v>7</v>
      </c>
      <c r="D19" s="2"/>
      <c r="E19" s="5"/>
      <c r="F19" s="5"/>
      <c r="G19" s="5">
        <v>9</v>
      </c>
      <c r="H19" s="5">
        <v>1.79</v>
      </c>
      <c r="I19" s="16"/>
      <c r="J19" s="5"/>
      <c r="K19" s="5">
        <f>G19/H19</f>
        <v>5.027932960893855</v>
      </c>
      <c r="L19" s="17"/>
      <c r="M19" s="6">
        <v>60</v>
      </c>
      <c r="N19" s="13"/>
      <c r="O19" s="13">
        <v>7</v>
      </c>
      <c r="P19" s="13"/>
      <c r="Q19" s="5"/>
      <c r="R19" s="5"/>
      <c r="S19" s="5">
        <v>9</v>
      </c>
      <c r="T19" s="5">
        <v>2.93</v>
      </c>
      <c r="U19" s="5"/>
      <c r="V19" s="5"/>
      <c r="W19" s="5">
        <f>S19/T19</f>
        <v>3.0716723549488054</v>
      </c>
      <c r="X19" s="19"/>
      <c r="Y19" s="5">
        <f>K19</f>
        <v>5.027932960893855</v>
      </c>
      <c r="Z19" s="5">
        <v>5.4</v>
      </c>
      <c r="AA19" s="5">
        <v>6.26</v>
      </c>
      <c r="AB19" s="5">
        <v>5.0999999999999996</v>
      </c>
      <c r="AC19" s="5">
        <v>4.4800000000000004</v>
      </c>
      <c r="AD19" s="13"/>
      <c r="AE19" s="13"/>
      <c r="AF19" s="34"/>
      <c r="AG19" s="34"/>
      <c r="AH19" s="33"/>
    </row>
    <row r="20" spans="1:34" x14ac:dyDescent="0.4">
      <c r="A20" s="3"/>
      <c r="C20" s="2">
        <v>12</v>
      </c>
      <c r="D20" s="2"/>
      <c r="E20" s="5"/>
      <c r="F20" s="5"/>
      <c r="G20" s="5"/>
      <c r="H20" s="5"/>
      <c r="I20" s="16"/>
      <c r="J20" s="5"/>
      <c r="K20" s="5"/>
      <c r="L20" s="17"/>
      <c r="M20" s="6">
        <v>60</v>
      </c>
      <c r="N20" s="13"/>
      <c r="O20" s="13">
        <v>12</v>
      </c>
      <c r="P20" s="13"/>
      <c r="Q20" s="5"/>
      <c r="R20" s="5"/>
      <c r="S20" s="5"/>
      <c r="T20" s="5"/>
      <c r="U20" s="5"/>
      <c r="V20" s="5"/>
      <c r="W20" s="5"/>
      <c r="X20" s="19"/>
      <c r="Y20" s="17"/>
      <c r="Z20" s="5">
        <v>6.3</v>
      </c>
      <c r="AA20" s="5">
        <v>8.19</v>
      </c>
      <c r="AB20" s="5">
        <v>6.1</v>
      </c>
      <c r="AC20" s="5">
        <v>6.02</v>
      </c>
      <c r="AD20" s="13"/>
      <c r="AE20" s="13"/>
      <c r="AF20" s="34"/>
      <c r="AG20" s="34"/>
      <c r="AH20" s="33"/>
    </row>
    <row r="21" spans="1:34" hidden="1" x14ac:dyDescent="0.4">
      <c r="A21" s="8"/>
      <c r="B21" s="8"/>
      <c r="C21" s="9"/>
      <c r="D21" s="9"/>
      <c r="E21" s="18"/>
      <c r="F21" s="18"/>
      <c r="G21" s="30"/>
      <c r="H21" s="30"/>
      <c r="I21" s="30"/>
      <c r="J21" s="30"/>
      <c r="K21" s="30"/>
      <c r="L21" s="18"/>
      <c r="M21" s="30"/>
      <c r="N21" s="14"/>
      <c r="O21" s="14"/>
      <c r="P21" s="14"/>
      <c r="Q21" s="18"/>
      <c r="R21" s="18"/>
      <c r="S21" s="30"/>
      <c r="T21" s="30"/>
      <c r="U21" s="30"/>
      <c r="V21" s="30"/>
      <c r="W21" s="30"/>
      <c r="X21" s="18"/>
      <c r="Y21" s="31"/>
      <c r="Z21" s="31"/>
      <c r="AA21" s="31"/>
      <c r="AB21" s="31"/>
      <c r="AC21" s="31"/>
      <c r="AD21" s="14"/>
      <c r="AE21" s="14"/>
      <c r="AF21" s="30"/>
      <c r="AG21" s="30"/>
      <c r="AH21" s="30"/>
    </row>
    <row r="22" spans="1:34" hidden="1" x14ac:dyDescent="0.4">
      <c r="A22" s="3" t="s">
        <v>59</v>
      </c>
      <c r="B22" s="1" t="s">
        <v>12</v>
      </c>
      <c r="C22" s="4">
        <v>-25</v>
      </c>
      <c r="D22" s="2"/>
      <c r="E22" s="5"/>
      <c r="F22" s="5"/>
      <c r="G22" s="24"/>
      <c r="H22" s="24"/>
      <c r="I22" s="24"/>
      <c r="J22" s="24"/>
      <c r="K22" s="24"/>
      <c r="L22" s="17"/>
      <c r="M22" s="27">
        <v>55</v>
      </c>
      <c r="N22" s="13"/>
      <c r="O22" s="4">
        <v>-25</v>
      </c>
      <c r="P22" s="13"/>
      <c r="Q22" s="5"/>
      <c r="R22" s="5"/>
      <c r="S22" s="24"/>
      <c r="T22" s="24"/>
      <c r="U22" s="24"/>
      <c r="V22" s="24"/>
      <c r="W22" s="24"/>
      <c r="X22" s="4">
        <v>3</v>
      </c>
      <c r="Y22" s="36"/>
      <c r="Z22" s="24"/>
      <c r="AA22" s="24"/>
      <c r="AB22" s="24"/>
      <c r="AC22" s="24"/>
      <c r="AD22" s="13"/>
      <c r="AE22" s="13" t="s">
        <v>37</v>
      </c>
      <c r="AF22" s="28">
        <v>5</v>
      </c>
      <c r="AG22" s="28">
        <v>1.64</v>
      </c>
      <c r="AH22" s="28">
        <f>AF22/AG22</f>
        <v>3.0487804878048781</v>
      </c>
    </row>
    <row r="23" spans="1:34" hidden="1" outlineLevel="1" x14ac:dyDescent="0.4">
      <c r="A23" s="12" t="s">
        <v>60</v>
      </c>
      <c r="C23" s="13">
        <v>-20</v>
      </c>
      <c r="D23" s="2"/>
      <c r="E23" s="5"/>
      <c r="F23" s="5"/>
      <c r="G23" s="24">
        <v>4.05</v>
      </c>
      <c r="H23" s="24">
        <v>1.95</v>
      </c>
      <c r="I23" s="24"/>
      <c r="J23" s="24"/>
      <c r="K23" s="24">
        <f>G23/H23</f>
        <v>2.0769230769230771</v>
      </c>
      <c r="L23" s="17"/>
      <c r="M23" s="27">
        <v>55</v>
      </c>
      <c r="N23" s="13"/>
      <c r="O23" s="13">
        <v>-20</v>
      </c>
      <c r="P23" s="13"/>
      <c r="Q23" s="5"/>
      <c r="R23" s="5"/>
      <c r="S23" s="24">
        <v>3.39</v>
      </c>
      <c r="T23" s="24">
        <v>2.48</v>
      </c>
      <c r="U23" s="24"/>
      <c r="V23" s="24"/>
      <c r="W23" s="24">
        <f>S23/T23</f>
        <v>1.3669354838709677</v>
      </c>
      <c r="X23" s="19"/>
      <c r="Y23" s="36"/>
      <c r="Z23" s="24"/>
      <c r="AA23" s="24"/>
      <c r="AB23" s="24"/>
      <c r="AC23" s="24"/>
      <c r="AD23" s="13"/>
      <c r="AE23" s="13"/>
      <c r="AF23" s="28"/>
      <c r="AG23" s="28"/>
      <c r="AH23" s="28"/>
    </row>
    <row r="24" spans="1:34" hidden="1" collapsed="1" x14ac:dyDescent="0.4">
      <c r="A24" s="3"/>
      <c r="C24" s="2">
        <v>-15</v>
      </c>
      <c r="D24" s="2"/>
      <c r="E24" s="5"/>
      <c r="F24" s="5"/>
      <c r="G24" s="24">
        <v>5</v>
      </c>
      <c r="H24" s="24">
        <v>2.11</v>
      </c>
      <c r="I24" s="24"/>
      <c r="J24" s="24"/>
      <c r="K24" s="24">
        <f>G24/H24</f>
        <v>2.3696682464454977</v>
      </c>
      <c r="L24" s="17"/>
      <c r="M24" s="27">
        <v>55</v>
      </c>
      <c r="N24" s="13"/>
      <c r="O24" s="13">
        <v>-15</v>
      </c>
      <c r="P24" s="13"/>
      <c r="Q24" s="5"/>
      <c r="R24" s="5"/>
      <c r="S24" s="24">
        <v>4.3</v>
      </c>
      <c r="T24" s="24">
        <v>2.61</v>
      </c>
      <c r="U24" s="24"/>
      <c r="V24" s="24"/>
      <c r="W24" s="24">
        <f>S24/T24</f>
        <v>1.6475095785440612</v>
      </c>
      <c r="X24" s="19"/>
      <c r="Y24" s="36"/>
      <c r="Z24" s="24"/>
      <c r="AA24" s="24"/>
      <c r="AB24" s="24"/>
      <c r="AC24" s="24"/>
      <c r="AD24" s="13"/>
      <c r="AE24" s="13" t="s">
        <v>38</v>
      </c>
      <c r="AF24" s="28">
        <v>6.69</v>
      </c>
      <c r="AG24" s="28">
        <v>1.76</v>
      </c>
      <c r="AH24" s="28">
        <f t="shared" ref="AH24:AH25" si="0">AF24/AG24</f>
        <v>3.8011363636363638</v>
      </c>
    </row>
    <row r="25" spans="1:34" hidden="1" x14ac:dyDescent="0.4">
      <c r="A25" s="3"/>
      <c r="C25" s="2">
        <v>-10</v>
      </c>
      <c r="D25" s="2"/>
      <c r="E25" s="5"/>
      <c r="F25" s="5"/>
      <c r="G25" s="24"/>
      <c r="H25" s="24"/>
      <c r="I25" s="24"/>
      <c r="J25" s="24"/>
      <c r="K25" s="24"/>
      <c r="L25" s="17"/>
      <c r="M25" s="27">
        <v>60</v>
      </c>
      <c r="N25" s="13"/>
      <c r="O25" s="13">
        <v>-10</v>
      </c>
      <c r="P25" s="13"/>
      <c r="Q25" s="5"/>
      <c r="R25" s="5"/>
      <c r="S25" s="24"/>
      <c r="T25" s="24"/>
      <c r="U25" s="24"/>
      <c r="V25" s="24"/>
      <c r="W25" s="24"/>
      <c r="X25" s="19"/>
      <c r="Y25" s="36" t="s">
        <v>39</v>
      </c>
      <c r="Z25" s="24">
        <v>5</v>
      </c>
      <c r="AA25" s="24">
        <v>2.5</v>
      </c>
      <c r="AB25" s="24">
        <v>5</v>
      </c>
      <c r="AC25" s="24">
        <v>1.98</v>
      </c>
      <c r="AD25" s="13"/>
      <c r="AE25" s="13" t="s">
        <v>40</v>
      </c>
      <c r="AF25" s="28">
        <v>5</v>
      </c>
      <c r="AG25" s="28">
        <v>1.02</v>
      </c>
      <c r="AH25" s="28">
        <f t="shared" si="0"/>
        <v>4.9019607843137258</v>
      </c>
    </row>
    <row r="26" spans="1:34" hidden="1" x14ac:dyDescent="0.4">
      <c r="A26" s="3"/>
      <c r="C26" s="2">
        <v>-7</v>
      </c>
      <c r="D26" s="2"/>
      <c r="E26" s="5"/>
      <c r="F26" s="5"/>
      <c r="G26" s="24">
        <v>5</v>
      </c>
      <c r="H26" s="24">
        <v>1.79</v>
      </c>
      <c r="I26" s="24"/>
      <c r="J26" s="24"/>
      <c r="K26" s="24">
        <f>G26/H26</f>
        <v>2.7932960893854748</v>
      </c>
      <c r="L26" s="17"/>
      <c r="M26" s="27">
        <v>60</v>
      </c>
      <c r="N26" s="13"/>
      <c r="O26" s="13">
        <v>-7</v>
      </c>
      <c r="P26" s="13"/>
      <c r="Q26" s="5"/>
      <c r="R26" s="5"/>
      <c r="S26" s="24">
        <v>5</v>
      </c>
      <c r="T26" s="24">
        <v>2.65</v>
      </c>
      <c r="U26" s="24"/>
      <c r="V26" s="24"/>
      <c r="W26" s="24">
        <f>S26/T26</f>
        <v>1.8867924528301887</v>
      </c>
      <c r="X26" s="19"/>
      <c r="Y26" s="24">
        <f>AA26*(1.029-(0.05*Z26/G28))</f>
        <v>2.7185999999999995</v>
      </c>
      <c r="Z26" s="24">
        <v>4.4000000000000004</v>
      </c>
      <c r="AA26" s="24">
        <v>2.76</v>
      </c>
      <c r="AB26" s="24">
        <v>4.5</v>
      </c>
      <c r="AC26" s="24">
        <v>2.2999999999999998</v>
      </c>
      <c r="AD26" s="13"/>
      <c r="AE26" s="13"/>
      <c r="AF26" s="34"/>
      <c r="AG26" s="34"/>
      <c r="AH26" s="33"/>
    </row>
    <row r="27" spans="1:34" hidden="1" x14ac:dyDescent="0.4">
      <c r="A27" s="3"/>
      <c r="C27" s="2">
        <v>2</v>
      </c>
      <c r="D27" s="2"/>
      <c r="E27" s="5"/>
      <c r="F27" s="5"/>
      <c r="G27" s="24">
        <v>5</v>
      </c>
      <c r="H27" s="24">
        <v>1.4</v>
      </c>
      <c r="I27" s="24"/>
      <c r="J27" s="24"/>
      <c r="K27" s="24">
        <f>G27/H27</f>
        <v>3.5714285714285716</v>
      </c>
      <c r="L27" s="17"/>
      <c r="M27" s="27">
        <v>60</v>
      </c>
      <c r="N27" s="13"/>
      <c r="O27" s="13">
        <v>2</v>
      </c>
      <c r="P27" s="13"/>
      <c r="Q27" s="5"/>
      <c r="R27" s="5"/>
      <c r="S27" s="24">
        <v>5</v>
      </c>
      <c r="T27" s="24">
        <v>2.1800000000000002</v>
      </c>
      <c r="U27" s="24"/>
      <c r="V27" s="24"/>
      <c r="W27" s="24">
        <f>S27/T27</f>
        <v>2.2935779816513762</v>
      </c>
      <c r="X27" s="19"/>
      <c r="Y27" s="24">
        <f>AA27*(0.906-(0.044*Z27/G28))</f>
        <v>4.8041728000000008</v>
      </c>
      <c r="Z27" s="24">
        <v>2.6</v>
      </c>
      <c r="AA27" s="24">
        <v>5.44</v>
      </c>
      <c r="AB27" s="24">
        <v>2.7</v>
      </c>
      <c r="AC27" s="24">
        <v>3.58</v>
      </c>
      <c r="AD27" s="13"/>
      <c r="AE27" s="13"/>
      <c r="AF27" s="34"/>
      <c r="AG27" s="34"/>
      <c r="AH27" s="33"/>
    </row>
    <row r="28" spans="1:34" hidden="1" x14ac:dyDescent="0.4">
      <c r="A28" s="3"/>
      <c r="C28" s="2">
        <v>7</v>
      </c>
      <c r="D28" s="2"/>
      <c r="E28" s="5"/>
      <c r="F28" s="5"/>
      <c r="G28" s="24">
        <v>5</v>
      </c>
      <c r="H28" s="24">
        <v>0.98</v>
      </c>
      <c r="I28" s="24"/>
      <c r="J28" s="24"/>
      <c r="K28" s="24">
        <f>G28/H28</f>
        <v>5.1020408163265305</v>
      </c>
      <c r="L28" s="17"/>
      <c r="M28" s="27">
        <v>60</v>
      </c>
      <c r="N28" s="13"/>
      <c r="O28" s="13">
        <v>7</v>
      </c>
      <c r="P28" s="13"/>
      <c r="Q28" s="5"/>
      <c r="R28" s="5"/>
      <c r="S28" s="24">
        <v>5</v>
      </c>
      <c r="T28" s="24">
        <v>1.65</v>
      </c>
      <c r="U28" s="24"/>
      <c r="V28" s="24"/>
      <c r="W28" s="24">
        <f>S28/T28</f>
        <v>3.0303030303030303</v>
      </c>
      <c r="X28" s="19"/>
      <c r="Y28" s="24">
        <f>K28</f>
        <v>5.1020408163265305</v>
      </c>
      <c r="Z28" s="24">
        <v>3</v>
      </c>
      <c r="AA28" s="24">
        <v>7.15</v>
      </c>
      <c r="AB28" s="24">
        <v>2.8</v>
      </c>
      <c r="AC28" s="24">
        <v>4.8899999999999997</v>
      </c>
      <c r="AD28" s="13"/>
      <c r="AE28" s="13"/>
      <c r="AF28" s="34"/>
      <c r="AG28" s="34"/>
      <c r="AH28" s="33"/>
    </row>
    <row r="29" spans="1:34" hidden="1" x14ac:dyDescent="0.4">
      <c r="A29" s="3"/>
      <c r="C29" s="2">
        <v>12</v>
      </c>
      <c r="D29" s="2"/>
      <c r="E29" s="5"/>
      <c r="F29" s="5"/>
      <c r="G29" s="24"/>
      <c r="H29" s="24"/>
      <c r="I29" s="24"/>
      <c r="J29" s="24"/>
      <c r="K29" s="24"/>
      <c r="L29" s="17"/>
      <c r="M29" s="27">
        <v>60</v>
      </c>
      <c r="N29" s="13"/>
      <c r="O29" s="13">
        <v>12</v>
      </c>
      <c r="P29" s="13"/>
      <c r="Q29" s="5"/>
      <c r="R29" s="5"/>
      <c r="S29" s="24"/>
      <c r="T29" s="24"/>
      <c r="U29" s="24"/>
      <c r="V29" s="24"/>
      <c r="W29" s="24"/>
      <c r="X29" s="19"/>
      <c r="Y29" s="36"/>
      <c r="Z29" s="24">
        <v>3.5</v>
      </c>
      <c r="AA29" s="24">
        <v>9.5500000000000007</v>
      </c>
      <c r="AB29" s="24">
        <v>3.4</v>
      </c>
      <c r="AC29" s="24">
        <v>6.92</v>
      </c>
      <c r="AD29" s="13"/>
      <c r="AE29" s="13"/>
      <c r="AF29" s="34"/>
      <c r="AG29" s="34"/>
      <c r="AH29" s="33"/>
    </row>
    <row r="30" spans="1:34" hidden="1" x14ac:dyDescent="0.4">
      <c r="A30" s="8"/>
      <c r="B30" s="8"/>
      <c r="C30" s="9"/>
      <c r="D30" s="9"/>
      <c r="E30" s="18"/>
      <c r="F30" s="18"/>
      <c r="G30" s="30"/>
      <c r="H30" s="30"/>
      <c r="I30" s="30"/>
      <c r="J30" s="30"/>
      <c r="K30" s="30"/>
      <c r="L30" s="18"/>
      <c r="M30" s="30"/>
      <c r="N30" s="14"/>
      <c r="O30" s="14"/>
      <c r="P30" s="14"/>
      <c r="Q30" s="18"/>
      <c r="R30" s="18"/>
      <c r="S30" s="30"/>
      <c r="T30" s="30"/>
      <c r="U30" s="30"/>
      <c r="V30" s="30"/>
      <c r="W30" s="30"/>
      <c r="X30" s="18"/>
      <c r="Y30" s="31"/>
      <c r="Z30" s="31"/>
      <c r="AA30" s="31"/>
      <c r="AB30" s="31"/>
      <c r="AC30" s="31"/>
      <c r="AD30" s="14"/>
      <c r="AE30" s="14"/>
      <c r="AF30" s="30"/>
      <c r="AG30" s="30"/>
      <c r="AH30" s="30"/>
    </row>
    <row r="31" spans="1:34" hidden="1" x14ac:dyDescent="0.4">
      <c r="A31" s="3" t="s">
        <v>58</v>
      </c>
      <c r="B31" s="1" t="s">
        <v>12</v>
      </c>
      <c r="C31" s="4">
        <v>-25</v>
      </c>
      <c r="D31" s="2"/>
      <c r="E31" s="5"/>
      <c r="F31" s="5"/>
      <c r="G31" s="24"/>
      <c r="H31" s="24"/>
      <c r="I31" s="24"/>
      <c r="J31" s="24"/>
      <c r="K31" s="24"/>
      <c r="L31" s="17"/>
      <c r="M31" s="27">
        <v>55</v>
      </c>
      <c r="N31" s="13"/>
      <c r="O31" s="4">
        <v>-25</v>
      </c>
      <c r="P31" s="13"/>
      <c r="Q31" s="5"/>
      <c r="R31" s="5"/>
      <c r="S31" s="24"/>
      <c r="T31" s="24"/>
      <c r="U31" s="24"/>
      <c r="V31" s="24"/>
      <c r="W31" s="24"/>
      <c r="X31" s="4">
        <v>6</v>
      </c>
      <c r="Y31" s="36"/>
      <c r="Z31" s="24"/>
      <c r="AA31" s="24"/>
      <c r="AB31" s="24"/>
      <c r="AC31" s="24"/>
      <c r="AD31" s="13"/>
      <c r="AE31" s="13" t="s">
        <v>37</v>
      </c>
      <c r="AF31" s="28">
        <v>5</v>
      </c>
      <c r="AG31" s="28">
        <v>1.64</v>
      </c>
      <c r="AH31" s="28">
        <f>AF31/AG31</f>
        <v>3.0487804878048781</v>
      </c>
    </row>
    <row r="32" spans="1:34" hidden="1" outlineLevel="1" x14ac:dyDescent="0.4">
      <c r="A32" s="12" t="s">
        <v>60</v>
      </c>
      <c r="C32" s="13">
        <v>-20</v>
      </c>
      <c r="D32" s="2"/>
      <c r="E32" s="5"/>
      <c r="F32" s="5"/>
      <c r="G32" s="24">
        <v>4.05</v>
      </c>
      <c r="H32" s="24">
        <v>1.95</v>
      </c>
      <c r="I32" s="24"/>
      <c r="J32" s="24"/>
      <c r="K32" s="24">
        <f>G32/H32</f>
        <v>2.0769230769230771</v>
      </c>
      <c r="L32" s="17"/>
      <c r="M32" s="27">
        <v>55</v>
      </c>
      <c r="N32" s="13"/>
      <c r="O32" s="13">
        <v>-20</v>
      </c>
      <c r="P32" s="13"/>
      <c r="Q32" s="5"/>
      <c r="R32" s="5"/>
      <c r="S32" s="24">
        <v>3.39</v>
      </c>
      <c r="T32" s="24">
        <v>2.48</v>
      </c>
      <c r="U32" s="24"/>
      <c r="V32" s="24"/>
      <c r="W32" s="24">
        <f>S32/T32</f>
        <v>1.3669354838709677</v>
      </c>
      <c r="X32" s="19"/>
      <c r="Y32" s="36"/>
      <c r="Z32" s="24"/>
      <c r="AA32" s="24"/>
      <c r="AB32" s="24"/>
      <c r="AC32" s="24"/>
      <c r="AD32" s="13"/>
      <c r="AE32" s="13"/>
      <c r="AF32" s="28"/>
      <c r="AG32" s="28"/>
      <c r="AH32" s="28"/>
    </row>
    <row r="33" spans="1:34" hidden="1" collapsed="1" x14ac:dyDescent="0.4">
      <c r="A33" s="3"/>
      <c r="C33" s="2">
        <v>-15</v>
      </c>
      <c r="D33" s="2"/>
      <c r="E33" s="5"/>
      <c r="F33" s="5"/>
      <c r="G33" s="24">
        <v>5</v>
      </c>
      <c r="H33" s="24">
        <v>2.11</v>
      </c>
      <c r="I33" s="24"/>
      <c r="J33" s="24"/>
      <c r="K33" s="24">
        <f>G33/H33</f>
        <v>2.3696682464454977</v>
      </c>
      <c r="L33" s="17"/>
      <c r="M33" s="27">
        <v>55</v>
      </c>
      <c r="N33" s="13"/>
      <c r="O33" s="13">
        <v>-15</v>
      </c>
      <c r="P33" s="13"/>
      <c r="Q33" s="5"/>
      <c r="R33" s="5"/>
      <c r="S33" s="24">
        <v>4.3</v>
      </c>
      <c r="T33" s="24">
        <v>2.61</v>
      </c>
      <c r="U33" s="24"/>
      <c r="V33" s="24"/>
      <c r="W33" s="24">
        <f>S33/T33</f>
        <v>1.6475095785440612</v>
      </c>
      <c r="X33" s="19"/>
      <c r="Y33" s="36"/>
      <c r="Z33" s="24"/>
      <c r="AA33" s="24"/>
      <c r="AB33" s="24"/>
      <c r="AC33" s="24"/>
      <c r="AD33" s="13"/>
      <c r="AE33" s="13" t="s">
        <v>38</v>
      </c>
      <c r="AF33" s="28">
        <v>6.69</v>
      </c>
      <c r="AG33" s="28">
        <v>1.76</v>
      </c>
      <c r="AH33" s="28">
        <f t="shared" ref="AH33:AH34" si="1">AF33/AG33</f>
        <v>3.8011363636363638</v>
      </c>
    </row>
    <row r="34" spans="1:34" hidden="1" x14ac:dyDescent="0.4">
      <c r="A34" s="3"/>
      <c r="C34" s="2">
        <v>-10</v>
      </c>
      <c r="D34" s="2"/>
      <c r="E34" s="5"/>
      <c r="F34" s="5"/>
      <c r="G34" s="24"/>
      <c r="H34" s="24"/>
      <c r="I34" s="24"/>
      <c r="J34" s="24"/>
      <c r="K34" s="24"/>
      <c r="L34" s="17"/>
      <c r="M34" s="27">
        <v>60</v>
      </c>
      <c r="N34" s="13"/>
      <c r="O34" s="13">
        <v>-10</v>
      </c>
      <c r="P34" s="13"/>
      <c r="Q34" s="5"/>
      <c r="R34" s="5"/>
      <c r="S34" s="24"/>
      <c r="T34" s="24"/>
      <c r="U34" s="24"/>
      <c r="V34" s="24"/>
      <c r="W34" s="24"/>
      <c r="X34" s="19"/>
      <c r="Y34" s="36" t="s">
        <v>39</v>
      </c>
      <c r="Z34" s="24">
        <v>5</v>
      </c>
      <c r="AA34" s="24">
        <v>2.5</v>
      </c>
      <c r="AB34" s="24">
        <v>5</v>
      </c>
      <c r="AC34" s="24">
        <v>1.98</v>
      </c>
      <c r="AD34" s="13"/>
      <c r="AE34" s="13" t="s">
        <v>40</v>
      </c>
      <c r="AF34" s="28">
        <v>5</v>
      </c>
      <c r="AG34" s="28">
        <v>1.02</v>
      </c>
      <c r="AH34" s="28">
        <f t="shared" si="1"/>
        <v>4.9019607843137258</v>
      </c>
    </row>
    <row r="35" spans="1:34" hidden="1" x14ac:dyDescent="0.4">
      <c r="A35" s="3"/>
      <c r="C35" s="2">
        <v>-7</v>
      </c>
      <c r="D35" s="2"/>
      <c r="E35" s="5"/>
      <c r="F35" s="5"/>
      <c r="G35" s="24">
        <v>5</v>
      </c>
      <c r="H35" s="24">
        <v>1.79</v>
      </c>
      <c r="I35" s="24"/>
      <c r="J35" s="24"/>
      <c r="K35" s="24">
        <f>G35/H35</f>
        <v>2.7932960893854748</v>
      </c>
      <c r="L35" s="17"/>
      <c r="M35" s="27">
        <v>60</v>
      </c>
      <c r="N35" s="13"/>
      <c r="O35" s="13">
        <v>-7</v>
      </c>
      <c r="P35" s="13"/>
      <c r="Q35" s="5"/>
      <c r="R35" s="5"/>
      <c r="S35" s="24">
        <v>5</v>
      </c>
      <c r="T35" s="24">
        <v>2.65</v>
      </c>
      <c r="U35" s="24"/>
      <c r="V35" s="24"/>
      <c r="W35" s="24">
        <f>S35/T35</f>
        <v>1.8867924528301887</v>
      </c>
      <c r="X35" s="19"/>
      <c r="Y35" s="24">
        <f>AA35*(1.029-(0.05*Z35/G37))</f>
        <v>2.7185999999999995</v>
      </c>
      <c r="Z35" s="24">
        <v>4.4000000000000004</v>
      </c>
      <c r="AA35" s="24">
        <v>2.76</v>
      </c>
      <c r="AB35" s="24">
        <v>4.5</v>
      </c>
      <c r="AC35" s="24">
        <v>2.2999999999999998</v>
      </c>
      <c r="AD35" s="13"/>
      <c r="AE35" s="13"/>
      <c r="AF35" s="34"/>
      <c r="AG35" s="34"/>
      <c r="AH35" s="33"/>
    </row>
    <row r="36" spans="1:34" hidden="1" x14ac:dyDescent="0.4">
      <c r="A36" s="3"/>
      <c r="C36" s="2">
        <v>2</v>
      </c>
      <c r="D36" s="2"/>
      <c r="E36" s="5"/>
      <c r="F36" s="5"/>
      <c r="G36" s="24">
        <v>5</v>
      </c>
      <c r="H36" s="24">
        <v>1.4</v>
      </c>
      <c r="I36" s="24"/>
      <c r="J36" s="24"/>
      <c r="K36" s="24">
        <f>G36/H36</f>
        <v>3.5714285714285716</v>
      </c>
      <c r="L36" s="17"/>
      <c r="M36" s="27">
        <v>60</v>
      </c>
      <c r="N36" s="13"/>
      <c r="O36" s="13">
        <v>2</v>
      </c>
      <c r="P36" s="13"/>
      <c r="Q36" s="5"/>
      <c r="R36" s="5"/>
      <c r="S36" s="24">
        <v>5</v>
      </c>
      <c r="T36" s="24">
        <v>2.1800000000000002</v>
      </c>
      <c r="U36" s="24"/>
      <c r="V36" s="24"/>
      <c r="W36" s="24">
        <f>S36/T36</f>
        <v>2.2935779816513762</v>
      </c>
      <c r="X36" s="19"/>
      <c r="Y36" s="24">
        <f>AA36*(0.906-(0.044*Z36/G37))</f>
        <v>4.8041728000000008</v>
      </c>
      <c r="Z36" s="24">
        <v>2.6</v>
      </c>
      <c r="AA36" s="24">
        <v>5.44</v>
      </c>
      <c r="AB36" s="24">
        <v>2.7</v>
      </c>
      <c r="AC36" s="24">
        <v>3.58</v>
      </c>
      <c r="AD36" s="13"/>
      <c r="AE36" s="13"/>
      <c r="AF36" s="34"/>
      <c r="AG36" s="34"/>
      <c r="AH36" s="33"/>
    </row>
    <row r="37" spans="1:34" hidden="1" x14ac:dyDescent="0.4">
      <c r="A37" s="3"/>
      <c r="C37" s="2">
        <v>7</v>
      </c>
      <c r="D37" s="2"/>
      <c r="E37" s="5"/>
      <c r="F37" s="5"/>
      <c r="G37" s="24">
        <v>5</v>
      </c>
      <c r="H37" s="24">
        <v>0.98</v>
      </c>
      <c r="I37" s="24"/>
      <c r="J37" s="24"/>
      <c r="K37" s="24">
        <f>G37/H37</f>
        <v>5.1020408163265305</v>
      </c>
      <c r="L37" s="17"/>
      <c r="M37" s="27">
        <v>60</v>
      </c>
      <c r="N37" s="13"/>
      <c r="O37" s="13">
        <v>7</v>
      </c>
      <c r="P37" s="13"/>
      <c r="Q37" s="5"/>
      <c r="R37" s="5"/>
      <c r="S37" s="24">
        <v>5</v>
      </c>
      <c r="T37" s="24">
        <v>1.65</v>
      </c>
      <c r="U37" s="24"/>
      <c r="V37" s="24"/>
      <c r="W37" s="24">
        <f>S37/T37</f>
        <v>3.0303030303030303</v>
      </c>
      <c r="X37" s="19"/>
      <c r="Y37" s="24">
        <f>K37</f>
        <v>5.1020408163265305</v>
      </c>
      <c r="Z37" s="24">
        <v>3</v>
      </c>
      <c r="AA37" s="24">
        <v>7.15</v>
      </c>
      <c r="AB37" s="24">
        <v>2.8</v>
      </c>
      <c r="AC37" s="24">
        <v>4.8899999999999997</v>
      </c>
      <c r="AD37" s="13"/>
      <c r="AE37" s="13"/>
      <c r="AF37" s="34"/>
      <c r="AG37" s="34"/>
      <c r="AH37" s="33"/>
    </row>
    <row r="38" spans="1:34" hidden="1" x14ac:dyDescent="0.4">
      <c r="A38" s="3"/>
      <c r="C38" s="2">
        <v>12</v>
      </c>
      <c r="D38" s="2"/>
      <c r="E38" s="5"/>
      <c r="F38" s="5"/>
      <c r="G38" s="24"/>
      <c r="H38" s="24"/>
      <c r="I38" s="24"/>
      <c r="J38" s="24"/>
      <c r="K38" s="24"/>
      <c r="L38" s="17"/>
      <c r="M38" s="27">
        <v>60</v>
      </c>
      <c r="N38" s="13"/>
      <c r="O38" s="13">
        <v>12</v>
      </c>
      <c r="P38" s="13"/>
      <c r="Q38" s="5"/>
      <c r="R38" s="5"/>
      <c r="S38" s="24"/>
      <c r="T38" s="24"/>
      <c r="U38" s="24"/>
      <c r="V38" s="24"/>
      <c r="W38" s="24"/>
      <c r="X38" s="19"/>
      <c r="Y38" s="36"/>
      <c r="Z38" s="24">
        <v>3.5</v>
      </c>
      <c r="AA38" s="24">
        <v>9.5500000000000007</v>
      </c>
      <c r="AB38" s="24">
        <v>3.4</v>
      </c>
      <c r="AC38" s="24">
        <v>6.92</v>
      </c>
      <c r="AD38" s="13"/>
      <c r="AE38" s="13"/>
      <c r="AF38" s="34"/>
      <c r="AG38" s="34"/>
      <c r="AH38" s="33"/>
    </row>
    <row r="39" spans="1:34" hidden="1" x14ac:dyDescent="0.4">
      <c r="A39" s="8"/>
      <c r="B39" s="8"/>
      <c r="C39" s="9"/>
      <c r="D39" s="9"/>
      <c r="E39" s="18"/>
      <c r="F39" s="18"/>
      <c r="G39" s="30"/>
      <c r="H39" s="30"/>
      <c r="I39" s="30"/>
      <c r="J39" s="30"/>
      <c r="K39" s="30"/>
      <c r="L39" s="18"/>
      <c r="M39" s="30"/>
      <c r="N39" s="14"/>
      <c r="O39" s="14"/>
      <c r="P39" s="14"/>
      <c r="Q39" s="18"/>
      <c r="R39" s="18"/>
      <c r="S39" s="30"/>
      <c r="T39" s="30"/>
      <c r="U39" s="30"/>
      <c r="V39" s="30"/>
      <c r="W39" s="30"/>
      <c r="X39" s="18"/>
      <c r="Y39" s="31"/>
      <c r="Z39" s="31"/>
      <c r="AA39" s="31"/>
      <c r="AB39" s="31"/>
      <c r="AC39" s="31"/>
      <c r="AD39" s="14"/>
      <c r="AE39" s="14"/>
      <c r="AF39" s="30"/>
      <c r="AG39" s="30"/>
      <c r="AH39" s="30"/>
    </row>
    <row r="40" spans="1:34" hidden="1" x14ac:dyDescent="0.4">
      <c r="A40" s="3" t="s">
        <v>59</v>
      </c>
      <c r="B40" s="1" t="s">
        <v>13</v>
      </c>
      <c r="C40" s="4">
        <v>-25</v>
      </c>
      <c r="D40" s="2"/>
      <c r="E40" s="5"/>
      <c r="F40" s="5"/>
      <c r="G40" s="24"/>
      <c r="H40" s="24"/>
      <c r="I40" s="24"/>
      <c r="J40" s="24"/>
      <c r="K40" s="24"/>
      <c r="L40" s="17"/>
      <c r="M40" s="27">
        <v>55</v>
      </c>
      <c r="N40" s="13"/>
      <c r="O40" s="4">
        <v>-25</v>
      </c>
      <c r="P40" s="13"/>
      <c r="Q40" s="5"/>
      <c r="R40" s="5"/>
      <c r="S40" s="24"/>
      <c r="T40" s="24"/>
      <c r="U40" s="24"/>
      <c r="V40" s="24"/>
      <c r="W40" s="24"/>
      <c r="X40" s="4">
        <v>3</v>
      </c>
      <c r="Y40" s="36"/>
      <c r="Z40" s="24"/>
      <c r="AA40" s="24"/>
      <c r="AB40" s="24"/>
      <c r="AC40" s="24"/>
      <c r="AD40" s="13"/>
      <c r="AE40" s="13" t="s">
        <v>37</v>
      </c>
      <c r="AF40" s="28">
        <v>6.7</v>
      </c>
      <c r="AG40" s="28">
        <v>2.21</v>
      </c>
      <c r="AH40" s="28">
        <f>AF40/AG40</f>
        <v>3.0316742081447967</v>
      </c>
    </row>
    <row r="41" spans="1:34" hidden="1" outlineLevel="1" x14ac:dyDescent="0.4">
      <c r="A41" s="12" t="s">
        <v>60</v>
      </c>
      <c r="C41" s="13">
        <v>-20</v>
      </c>
      <c r="D41" s="2"/>
      <c r="E41" s="5"/>
      <c r="F41" s="5"/>
      <c r="G41" s="24">
        <v>4.45</v>
      </c>
      <c r="H41" s="24">
        <v>2.12</v>
      </c>
      <c r="I41" s="24"/>
      <c r="J41" s="24"/>
      <c r="K41" s="24">
        <f>G41/H41</f>
        <v>2.0990566037735849</v>
      </c>
      <c r="L41" s="17"/>
      <c r="M41" s="27">
        <v>55</v>
      </c>
      <c r="N41" s="13"/>
      <c r="O41" s="13">
        <v>-20</v>
      </c>
      <c r="P41" s="13"/>
      <c r="Q41" s="5"/>
      <c r="R41" s="5"/>
      <c r="S41" s="24">
        <v>3.9</v>
      </c>
      <c r="T41" s="24">
        <v>2.85</v>
      </c>
      <c r="U41" s="24"/>
      <c r="V41" s="24"/>
      <c r="W41" s="24">
        <f>S41/T41</f>
        <v>1.368421052631579</v>
      </c>
      <c r="X41" s="19"/>
      <c r="Y41" s="36"/>
      <c r="Z41" s="24"/>
      <c r="AA41" s="24"/>
      <c r="AB41" s="24"/>
      <c r="AC41" s="24"/>
      <c r="AD41" s="13"/>
      <c r="AE41" s="13"/>
      <c r="AF41" s="28"/>
      <c r="AG41" s="28"/>
      <c r="AH41" s="28"/>
    </row>
    <row r="42" spans="1:34" hidden="1" collapsed="1" x14ac:dyDescent="0.4">
      <c r="A42" s="3"/>
      <c r="C42" s="2">
        <v>-15</v>
      </c>
      <c r="D42" s="2"/>
      <c r="E42" s="5"/>
      <c r="F42" s="5"/>
      <c r="G42" s="24">
        <v>5.6</v>
      </c>
      <c r="H42" s="24">
        <v>2.38</v>
      </c>
      <c r="I42" s="24"/>
      <c r="J42" s="24"/>
      <c r="K42" s="24">
        <f>G42/H42</f>
        <v>2.3529411764705883</v>
      </c>
      <c r="L42" s="17"/>
      <c r="M42" s="27">
        <v>55</v>
      </c>
      <c r="N42" s="13"/>
      <c r="O42" s="13">
        <v>-15</v>
      </c>
      <c r="P42" s="13"/>
      <c r="Q42" s="5"/>
      <c r="R42" s="5"/>
      <c r="S42" s="24">
        <v>5</v>
      </c>
      <c r="T42" s="24">
        <v>3.2</v>
      </c>
      <c r="U42" s="24"/>
      <c r="V42" s="24"/>
      <c r="W42" s="24">
        <f>S42/T42</f>
        <v>1.5625</v>
      </c>
      <c r="X42" s="19"/>
      <c r="Y42" s="36"/>
      <c r="Z42" s="24"/>
      <c r="AA42" s="24"/>
      <c r="AB42" s="24"/>
      <c r="AC42" s="24"/>
      <c r="AD42" s="13"/>
      <c r="AE42" s="13" t="s">
        <v>38</v>
      </c>
      <c r="AF42" s="28">
        <v>8.19</v>
      </c>
      <c r="AG42" s="28">
        <v>2.42</v>
      </c>
      <c r="AH42" s="28">
        <f t="shared" ref="AH42:AH43" si="2">AF42/AG42</f>
        <v>3.384297520661157</v>
      </c>
    </row>
    <row r="43" spans="1:34" hidden="1" x14ac:dyDescent="0.4">
      <c r="A43" s="3"/>
      <c r="C43" s="2">
        <v>-10</v>
      </c>
      <c r="D43" s="2"/>
      <c r="E43" s="5"/>
      <c r="F43" s="5"/>
      <c r="G43" s="24"/>
      <c r="H43" s="24"/>
      <c r="I43" s="24"/>
      <c r="J43" s="24"/>
      <c r="K43" s="24"/>
      <c r="L43" s="17"/>
      <c r="M43" s="27">
        <v>60</v>
      </c>
      <c r="N43" s="13"/>
      <c r="O43" s="13">
        <v>-10</v>
      </c>
      <c r="P43" s="13"/>
      <c r="Q43" s="5"/>
      <c r="R43" s="5"/>
      <c r="S43" s="24"/>
      <c r="T43" s="24"/>
      <c r="U43" s="24"/>
      <c r="V43" s="24"/>
      <c r="W43" s="24"/>
      <c r="X43" s="19"/>
      <c r="Y43" s="36" t="s">
        <v>39</v>
      </c>
      <c r="Z43" s="24">
        <v>7</v>
      </c>
      <c r="AA43" s="24">
        <v>2.6</v>
      </c>
      <c r="AB43" s="24">
        <v>6.2</v>
      </c>
      <c r="AC43" s="24">
        <v>1.84</v>
      </c>
      <c r="AD43" s="13"/>
      <c r="AE43" s="13" t="s">
        <v>40</v>
      </c>
      <c r="AF43" s="28">
        <v>6.7</v>
      </c>
      <c r="AG43" s="28">
        <v>1.42</v>
      </c>
      <c r="AH43" s="28">
        <f t="shared" si="2"/>
        <v>4.71830985915493</v>
      </c>
    </row>
    <row r="44" spans="1:34" hidden="1" x14ac:dyDescent="0.4">
      <c r="A44" s="3"/>
      <c r="C44" s="2">
        <v>-7</v>
      </c>
      <c r="D44" s="2"/>
      <c r="E44" s="5"/>
      <c r="F44" s="5"/>
      <c r="G44" s="24">
        <v>5.75</v>
      </c>
      <c r="H44" s="24">
        <v>1.95</v>
      </c>
      <c r="I44" s="24"/>
      <c r="J44" s="24"/>
      <c r="K44" s="24">
        <f>G44/H44</f>
        <v>2.9487179487179489</v>
      </c>
      <c r="L44" s="17"/>
      <c r="M44" s="27">
        <v>60</v>
      </c>
      <c r="N44" s="13"/>
      <c r="O44" s="13">
        <v>-7</v>
      </c>
      <c r="P44" s="13"/>
      <c r="Q44" s="5"/>
      <c r="R44" s="5"/>
      <c r="S44" s="24">
        <v>5.35</v>
      </c>
      <c r="T44" s="24">
        <v>2.7</v>
      </c>
      <c r="U44" s="24"/>
      <c r="V44" s="24"/>
      <c r="W44" s="24">
        <f>S44/T44</f>
        <v>1.9814814814814812</v>
      </c>
      <c r="X44" s="19"/>
      <c r="Y44" s="24">
        <f>AA44</f>
        <v>2.8</v>
      </c>
      <c r="Z44" s="24">
        <v>6.3</v>
      </c>
      <c r="AA44" s="24">
        <v>2.8</v>
      </c>
      <c r="AB44" s="24">
        <v>6.2</v>
      </c>
      <c r="AC44" s="24">
        <v>2.1800000000000002</v>
      </c>
      <c r="AD44" s="13"/>
      <c r="AE44" s="13"/>
      <c r="AF44" s="34"/>
      <c r="AG44" s="34"/>
      <c r="AH44" s="33"/>
    </row>
    <row r="45" spans="1:34" hidden="1" x14ac:dyDescent="0.4">
      <c r="A45" s="3"/>
      <c r="C45" s="2">
        <v>2</v>
      </c>
      <c r="D45" s="2"/>
      <c r="E45" s="5"/>
      <c r="F45" s="5"/>
      <c r="G45" s="24">
        <v>6.85</v>
      </c>
      <c r="H45" s="24">
        <v>2</v>
      </c>
      <c r="I45" s="24"/>
      <c r="J45" s="24"/>
      <c r="K45" s="24">
        <f>G45/H45</f>
        <v>3.4249999999999998</v>
      </c>
      <c r="L45" s="17"/>
      <c r="M45" s="27">
        <v>60</v>
      </c>
      <c r="N45" s="13"/>
      <c r="O45" s="13">
        <v>2</v>
      </c>
      <c r="P45" s="13"/>
      <c r="Q45" s="5"/>
      <c r="R45" s="5"/>
      <c r="S45" s="24">
        <v>6.25</v>
      </c>
      <c r="T45" s="24">
        <v>2.8</v>
      </c>
      <c r="U45" s="24"/>
      <c r="V45" s="24"/>
      <c r="W45" s="24">
        <f>S45/T45</f>
        <v>2.2321428571428572</v>
      </c>
      <c r="X45" s="19"/>
      <c r="Y45" s="24">
        <f t="shared" ref="Y45:Y46" si="3">AA45</f>
        <v>5.03</v>
      </c>
      <c r="Z45" s="24">
        <v>3.8</v>
      </c>
      <c r="AA45" s="24">
        <v>5.03</v>
      </c>
      <c r="AB45" s="24">
        <v>3.8</v>
      </c>
      <c r="AC45" s="24">
        <v>3.69</v>
      </c>
      <c r="AD45" s="13"/>
      <c r="AE45" s="13"/>
      <c r="AF45" s="34"/>
      <c r="AG45" s="34"/>
      <c r="AH45" s="33"/>
    </row>
    <row r="46" spans="1:34" hidden="1" x14ac:dyDescent="0.4">
      <c r="A46" s="3"/>
      <c r="C46" s="2">
        <v>7</v>
      </c>
      <c r="D46" s="2"/>
      <c r="E46" s="5"/>
      <c r="F46" s="5"/>
      <c r="G46" s="24">
        <v>7</v>
      </c>
      <c r="H46" s="24">
        <v>1.44</v>
      </c>
      <c r="I46" s="24"/>
      <c r="J46" s="24"/>
      <c r="K46" s="24">
        <f>G46/H46</f>
        <v>4.8611111111111116</v>
      </c>
      <c r="L46" s="17"/>
      <c r="M46" s="27">
        <v>60</v>
      </c>
      <c r="N46" s="13"/>
      <c r="O46" s="13">
        <v>7</v>
      </c>
      <c r="P46" s="13"/>
      <c r="Q46" s="5"/>
      <c r="R46" s="5"/>
      <c r="S46" s="24">
        <v>7</v>
      </c>
      <c r="T46" s="24">
        <v>2.4</v>
      </c>
      <c r="U46" s="24"/>
      <c r="V46" s="24"/>
      <c r="W46" s="24">
        <f>S46/T46</f>
        <v>2.916666666666667</v>
      </c>
      <c r="X46" s="19"/>
      <c r="Y46" s="24">
        <f t="shared" si="3"/>
        <v>6.56</v>
      </c>
      <c r="Z46" s="24">
        <v>3</v>
      </c>
      <c r="AA46" s="24">
        <v>6.56</v>
      </c>
      <c r="AB46" s="24">
        <v>2.5</v>
      </c>
      <c r="AC46" s="24">
        <v>4.5</v>
      </c>
      <c r="AD46" s="13"/>
      <c r="AE46" s="13"/>
      <c r="AF46" s="34"/>
      <c r="AG46" s="34"/>
      <c r="AH46" s="33"/>
    </row>
    <row r="47" spans="1:34" hidden="1" x14ac:dyDescent="0.4">
      <c r="A47" s="3"/>
      <c r="C47" s="2">
        <v>12</v>
      </c>
      <c r="D47" s="2"/>
      <c r="E47" s="5"/>
      <c r="F47" s="5"/>
      <c r="G47" s="24"/>
      <c r="H47" s="24"/>
      <c r="I47" s="24"/>
      <c r="J47" s="24"/>
      <c r="K47" s="24"/>
      <c r="L47" s="17"/>
      <c r="M47" s="27">
        <v>60</v>
      </c>
      <c r="N47" s="13"/>
      <c r="O47" s="13">
        <v>12</v>
      </c>
      <c r="P47" s="13"/>
      <c r="Q47" s="5"/>
      <c r="R47" s="5"/>
      <c r="S47" s="24"/>
      <c r="T47" s="24"/>
      <c r="U47" s="24"/>
      <c r="V47" s="24"/>
      <c r="W47" s="24"/>
      <c r="X47" s="19"/>
      <c r="Y47" s="36"/>
      <c r="Z47" s="24">
        <v>3.4</v>
      </c>
      <c r="AA47" s="24">
        <v>8.4700000000000006</v>
      </c>
      <c r="AB47" s="24">
        <v>3.1</v>
      </c>
      <c r="AC47" s="24">
        <v>6.55</v>
      </c>
      <c r="AD47" s="13"/>
      <c r="AE47" s="13"/>
      <c r="AF47" s="34"/>
      <c r="AG47" s="34"/>
      <c r="AH47" s="33"/>
    </row>
    <row r="48" spans="1:34" hidden="1" x14ac:dyDescent="0.4">
      <c r="A48" s="8"/>
      <c r="B48" s="8"/>
      <c r="C48" s="9"/>
      <c r="D48" s="9"/>
      <c r="E48" s="18"/>
      <c r="F48" s="18"/>
      <c r="G48" s="30"/>
      <c r="H48" s="30"/>
      <c r="I48" s="30"/>
      <c r="J48" s="30"/>
      <c r="K48" s="30"/>
      <c r="L48" s="18"/>
      <c r="M48" s="30"/>
      <c r="N48" s="14"/>
      <c r="O48" s="14"/>
      <c r="P48" s="14"/>
      <c r="Q48" s="18"/>
      <c r="R48" s="18"/>
      <c r="S48" s="30"/>
      <c r="T48" s="30"/>
      <c r="U48" s="30"/>
      <c r="V48" s="30"/>
      <c r="W48" s="30"/>
      <c r="X48" s="18"/>
      <c r="Y48" s="31"/>
      <c r="Z48" s="31"/>
      <c r="AA48" s="31"/>
      <c r="AB48" s="31"/>
      <c r="AC48" s="31"/>
      <c r="AD48" s="14"/>
      <c r="AE48" s="14"/>
      <c r="AF48" s="30"/>
      <c r="AG48" s="30"/>
      <c r="AH48" s="30"/>
    </row>
    <row r="49" spans="1:34" hidden="1" x14ac:dyDescent="0.4">
      <c r="A49" s="3" t="s">
        <v>58</v>
      </c>
      <c r="B49" s="1" t="s">
        <v>13</v>
      </c>
      <c r="C49" s="4">
        <v>-25</v>
      </c>
      <c r="D49" s="2"/>
      <c r="E49" s="5"/>
      <c r="F49" s="5"/>
      <c r="G49" s="24"/>
      <c r="H49" s="24"/>
      <c r="I49" s="24"/>
      <c r="J49" s="24"/>
      <c r="K49" s="24"/>
      <c r="L49" s="17"/>
      <c r="M49" s="27">
        <v>55</v>
      </c>
      <c r="N49" s="13"/>
      <c r="O49" s="4">
        <v>-25</v>
      </c>
      <c r="P49" s="13"/>
      <c r="Q49" s="5"/>
      <c r="R49" s="5"/>
      <c r="S49" s="24"/>
      <c r="T49" s="24"/>
      <c r="U49" s="24"/>
      <c r="V49" s="24"/>
      <c r="W49" s="24"/>
      <c r="X49" s="4">
        <v>6</v>
      </c>
      <c r="Y49" s="36"/>
      <c r="Z49" s="24"/>
      <c r="AA49" s="24"/>
      <c r="AB49" s="24"/>
      <c r="AC49" s="24"/>
      <c r="AD49" s="13"/>
      <c r="AE49" s="13" t="s">
        <v>37</v>
      </c>
      <c r="AF49" s="28">
        <v>6.7</v>
      </c>
      <c r="AG49" s="28">
        <v>2.21</v>
      </c>
      <c r="AH49" s="28">
        <f>AF49/AG49</f>
        <v>3.0316742081447967</v>
      </c>
    </row>
    <row r="50" spans="1:34" hidden="1" outlineLevel="1" x14ac:dyDescent="0.4">
      <c r="A50" s="12" t="s">
        <v>60</v>
      </c>
      <c r="C50" s="13">
        <v>-20</v>
      </c>
      <c r="D50" s="2"/>
      <c r="E50" s="5"/>
      <c r="F50" s="5"/>
      <c r="G50" s="24">
        <v>4.45</v>
      </c>
      <c r="H50" s="24">
        <v>2.12</v>
      </c>
      <c r="I50" s="24"/>
      <c r="J50" s="24"/>
      <c r="K50" s="24">
        <f>G50/H50</f>
        <v>2.0990566037735849</v>
      </c>
      <c r="L50" s="17"/>
      <c r="M50" s="27">
        <v>55</v>
      </c>
      <c r="N50" s="13"/>
      <c r="O50" s="13">
        <v>-20</v>
      </c>
      <c r="P50" s="13"/>
      <c r="Q50" s="5"/>
      <c r="R50" s="5"/>
      <c r="S50" s="24">
        <v>3.9</v>
      </c>
      <c r="T50" s="24">
        <v>2.85</v>
      </c>
      <c r="U50" s="24"/>
      <c r="V50" s="24"/>
      <c r="W50" s="24">
        <f>S50/T50</f>
        <v>1.368421052631579</v>
      </c>
      <c r="X50" s="19"/>
      <c r="Y50" s="36"/>
      <c r="Z50" s="24"/>
      <c r="AA50" s="24"/>
      <c r="AB50" s="24"/>
      <c r="AC50" s="24"/>
      <c r="AD50" s="13"/>
      <c r="AE50" s="13"/>
      <c r="AF50" s="28"/>
      <c r="AG50" s="28"/>
      <c r="AH50" s="28"/>
    </row>
    <row r="51" spans="1:34" hidden="1" collapsed="1" x14ac:dyDescent="0.4">
      <c r="A51" s="3"/>
      <c r="C51" s="2">
        <v>-15</v>
      </c>
      <c r="D51" s="2"/>
      <c r="E51" s="5"/>
      <c r="F51" s="5"/>
      <c r="G51" s="24">
        <v>5.6</v>
      </c>
      <c r="H51" s="24">
        <v>2.38</v>
      </c>
      <c r="I51" s="24"/>
      <c r="J51" s="24"/>
      <c r="K51" s="24">
        <f>G51/H51</f>
        <v>2.3529411764705883</v>
      </c>
      <c r="L51" s="17"/>
      <c r="M51" s="27">
        <v>55</v>
      </c>
      <c r="N51" s="13"/>
      <c r="O51" s="13">
        <v>-15</v>
      </c>
      <c r="P51" s="13"/>
      <c r="Q51" s="5"/>
      <c r="R51" s="5"/>
      <c r="S51" s="24">
        <v>5</v>
      </c>
      <c r="T51" s="24">
        <v>3.2</v>
      </c>
      <c r="U51" s="24"/>
      <c r="V51" s="24"/>
      <c r="W51" s="24">
        <f>S51/T51</f>
        <v>1.5625</v>
      </c>
      <c r="X51" s="19"/>
      <c r="Y51" s="36"/>
      <c r="Z51" s="24"/>
      <c r="AA51" s="24"/>
      <c r="AB51" s="24"/>
      <c r="AC51" s="24"/>
      <c r="AD51" s="13"/>
      <c r="AE51" s="13" t="s">
        <v>38</v>
      </c>
      <c r="AF51" s="28">
        <v>8.19</v>
      </c>
      <c r="AG51" s="28">
        <v>2.42</v>
      </c>
      <c r="AH51" s="28">
        <f t="shared" ref="AH51:AH52" si="4">AF51/AG51</f>
        <v>3.384297520661157</v>
      </c>
    </row>
    <row r="52" spans="1:34" hidden="1" x14ac:dyDescent="0.4">
      <c r="A52" s="3"/>
      <c r="C52" s="2">
        <v>-10</v>
      </c>
      <c r="D52" s="2"/>
      <c r="E52" s="5"/>
      <c r="F52" s="5"/>
      <c r="G52" s="24"/>
      <c r="H52" s="24"/>
      <c r="I52" s="24"/>
      <c r="J52" s="24"/>
      <c r="K52" s="24"/>
      <c r="L52" s="17"/>
      <c r="M52" s="27">
        <v>60</v>
      </c>
      <c r="N52" s="13"/>
      <c r="O52" s="13">
        <v>-10</v>
      </c>
      <c r="P52" s="13"/>
      <c r="Q52" s="5"/>
      <c r="R52" s="5"/>
      <c r="S52" s="24"/>
      <c r="T52" s="24"/>
      <c r="U52" s="24"/>
      <c r="V52" s="24"/>
      <c r="W52" s="24"/>
      <c r="X52" s="19"/>
      <c r="Y52" s="36" t="s">
        <v>39</v>
      </c>
      <c r="Z52" s="24">
        <v>7</v>
      </c>
      <c r="AA52" s="24">
        <v>2.6</v>
      </c>
      <c r="AB52" s="24">
        <v>6.2</v>
      </c>
      <c r="AC52" s="24">
        <v>1.84</v>
      </c>
      <c r="AD52" s="13"/>
      <c r="AE52" s="13" t="s">
        <v>40</v>
      </c>
      <c r="AF52" s="28">
        <v>6.7</v>
      </c>
      <c r="AG52" s="28">
        <v>1.42</v>
      </c>
      <c r="AH52" s="28">
        <f t="shared" si="4"/>
        <v>4.71830985915493</v>
      </c>
    </row>
    <row r="53" spans="1:34" hidden="1" x14ac:dyDescent="0.4">
      <c r="A53" s="3"/>
      <c r="C53" s="2">
        <v>-7</v>
      </c>
      <c r="D53" s="2"/>
      <c r="E53" s="5"/>
      <c r="F53" s="5"/>
      <c r="G53" s="24">
        <v>5.75</v>
      </c>
      <c r="H53" s="24">
        <v>1.95</v>
      </c>
      <c r="I53" s="24"/>
      <c r="J53" s="24"/>
      <c r="K53" s="24">
        <f>G53/H53</f>
        <v>2.9487179487179489</v>
      </c>
      <c r="L53" s="17"/>
      <c r="M53" s="27">
        <v>60</v>
      </c>
      <c r="N53" s="13"/>
      <c r="O53" s="13">
        <v>-7</v>
      </c>
      <c r="P53" s="13"/>
      <c r="Q53" s="5"/>
      <c r="R53" s="5"/>
      <c r="S53" s="24">
        <v>5.35</v>
      </c>
      <c r="T53" s="24">
        <v>2.7</v>
      </c>
      <c r="U53" s="24"/>
      <c r="V53" s="24"/>
      <c r="W53" s="24">
        <f>S53/T53</f>
        <v>1.9814814814814812</v>
      </c>
      <c r="X53" s="19"/>
      <c r="Y53" s="24">
        <f>AA53*(1.029-(0.05*Z53/G55))</f>
        <v>2.7551999999999994</v>
      </c>
      <c r="Z53" s="24">
        <v>6.3</v>
      </c>
      <c r="AA53" s="24">
        <v>2.8</v>
      </c>
      <c r="AB53" s="24">
        <v>6.2</v>
      </c>
      <c r="AC53" s="24">
        <v>2.1800000000000002</v>
      </c>
      <c r="AD53" s="13"/>
      <c r="AE53" s="13"/>
      <c r="AF53" s="34"/>
      <c r="AG53" s="34"/>
      <c r="AH53" s="33"/>
    </row>
    <row r="54" spans="1:34" hidden="1" x14ac:dyDescent="0.4">
      <c r="A54" s="3"/>
      <c r="C54" s="2">
        <v>2</v>
      </c>
      <c r="D54" s="2"/>
      <c r="E54" s="5"/>
      <c r="F54" s="5"/>
      <c r="G54" s="24">
        <v>6.85</v>
      </c>
      <c r="H54" s="24">
        <v>2</v>
      </c>
      <c r="I54" s="24"/>
      <c r="J54" s="24"/>
      <c r="K54" s="24">
        <f>G54/H54</f>
        <v>3.4249999999999998</v>
      </c>
      <c r="L54" s="17"/>
      <c r="M54" s="27">
        <v>60</v>
      </c>
      <c r="N54" s="13"/>
      <c r="O54" s="13">
        <v>2</v>
      </c>
      <c r="P54" s="13"/>
      <c r="Q54" s="5"/>
      <c r="R54" s="5"/>
      <c r="S54" s="24">
        <v>6.25</v>
      </c>
      <c r="T54" s="24">
        <v>2.8</v>
      </c>
      <c r="U54" s="24"/>
      <c r="V54" s="24"/>
      <c r="W54" s="24">
        <f>S54/T54</f>
        <v>2.2321428571428572</v>
      </c>
      <c r="X54" s="19"/>
      <c r="Y54" s="24">
        <f>AA54*(0.906-(0.044*Z54/G55))</f>
        <v>4.4370348571428577</v>
      </c>
      <c r="Z54" s="24">
        <v>3.8</v>
      </c>
      <c r="AA54" s="24">
        <v>5.03</v>
      </c>
      <c r="AB54" s="24">
        <v>3.8</v>
      </c>
      <c r="AC54" s="24">
        <v>3.69</v>
      </c>
      <c r="AD54" s="13"/>
      <c r="AE54" s="13"/>
      <c r="AF54" s="34"/>
      <c r="AG54" s="34"/>
      <c r="AH54" s="33"/>
    </row>
    <row r="55" spans="1:34" hidden="1" x14ac:dyDescent="0.4">
      <c r="A55" s="3"/>
      <c r="C55" s="2">
        <v>7</v>
      </c>
      <c r="D55" s="2"/>
      <c r="E55" s="5"/>
      <c r="F55" s="5"/>
      <c r="G55" s="24">
        <v>7</v>
      </c>
      <c r="H55" s="24">
        <v>1.44</v>
      </c>
      <c r="I55" s="24"/>
      <c r="J55" s="24"/>
      <c r="K55" s="24">
        <f>G55/H55</f>
        <v>4.8611111111111116</v>
      </c>
      <c r="L55" s="17"/>
      <c r="M55" s="27">
        <v>60</v>
      </c>
      <c r="N55" s="13"/>
      <c r="O55" s="13">
        <v>7</v>
      </c>
      <c r="P55" s="13"/>
      <c r="Q55" s="5"/>
      <c r="R55" s="5"/>
      <c r="S55" s="24">
        <v>7</v>
      </c>
      <c r="T55" s="24">
        <v>2.4</v>
      </c>
      <c r="U55" s="24"/>
      <c r="V55" s="24"/>
      <c r="W55" s="24">
        <f>S55/T55</f>
        <v>2.916666666666667</v>
      </c>
      <c r="X55" s="19"/>
      <c r="Y55" s="24">
        <f>K55</f>
        <v>4.8611111111111116</v>
      </c>
      <c r="Z55" s="24">
        <v>3</v>
      </c>
      <c r="AA55" s="24">
        <v>6.56</v>
      </c>
      <c r="AB55" s="24">
        <v>2.5</v>
      </c>
      <c r="AC55" s="24">
        <v>4.5</v>
      </c>
      <c r="AD55" s="13"/>
      <c r="AE55" s="13"/>
      <c r="AF55" s="34"/>
      <c r="AG55" s="34"/>
      <c r="AH55" s="33"/>
    </row>
    <row r="56" spans="1:34" hidden="1" x14ac:dyDescent="0.4">
      <c r="A56" s="3"/>
      <c r="C56" s="2">
        <v>12</v>
      </c>
      <c r="D56" s="2"/>
      <c r="E56" s="5"/>
      <c r="F56" s="5"/>
      <c r="G56" s="24"/>
      <c r="H56" s="24"/>
      <c r="I56" s="24"/>
      <c r="J56" s="24"/>
      <c r="K56" s="24"/>
      <c r="L56" s="17"/>
      <c r="M56" s="27">
        <v>60</v>
      </c>
      <c r="N56" s="13"/>
      <c r="O56" s="13">
        <v>12</v>
      </c>
      <c r="P56" s="13"/>
      <c r="Q56" s="5"/>
      <c r="R56" s="5"/>
      <c r="S56" s="24"/>
      <c r="T56" s="24"/>
      <c r="U56" s="24"/>
      <c r="V56" s="24"/>
      <c r="W56" s="24"/>
      <c r="X56" s="19"/>
      <c r="Y56" s="36"/>
      <c r="Z56" s="24">
        <v>3.4</v>
      </c>
      <c r="AA56" s="24">
        <v>8.4700000000000006</v>
      </c>
      <c r="AB56" s="24">
        <v>3.1</v>
      </c>
      <c r="AC56" s="24">
        <v>6.55</v>
      </c>
      <c r="AD56" s="13"/>
      <c r="AE56" s="13"/>
      <c r="AF56" s="34"/>
      <c r="AG56" s="34"/>
      <c r="AH56" s="33"/>
    </row>
    <row r="57" spans="1:34" hidden="1" x14ac:dyDescent="0.4">
      <c r="A57" s="8"/>
      <c r="B57" s="8"/>
      <c r="C57" s="9"/>
      <c r="D57" s="9"/>
      <c r="E57" s="18"/>
      <c r="F57" s="18"/>
      <c r="G57" s="30"/>
      <c r="H57" s="30"/>
      <c r="I57" s="30"/>
      <c r="J57" s="30"/>
      <c r="K57" s="30"/>
      <c r="L57" s="18"/>
      <c r="M57" s="30"/>
      <c r="N57" s="14"/>
      <c r="O57" s="14"/>
      <c r="P57" s="14"/>
      <c r="Q57" s="18"/>
      <c r="R57" s="18"/>
      <c r="S57" s="30"/>
      <c r="T57" s="30"/>
      <c r="U57" s="30"/>
      <c r="V57" s="30"/>
      <c r="W57" s="30"/>
      <c r="X57" s="18"/>
      <c r="Y57" s="31"/>
      <c r="Z57" s="31"/>
      <c r="AA57" s="31"/>
      <c r="AB57" s="31"/>
      <c r="AC57" s="31"/>
      <c r="AD57" s="14"/>
      <c r="AE57" s="14"/>
      <c r="AF57" s="30"/>
      <c r="AG57" s="30"/>
      <c r="AH57" s="30"/>
    </row>
    <row r="58" spans="1:34" hidden="1" x14ac:dyDescent="0.4">
      <c r="A58" s="3" t="s">
        <v>59</v>
      </c>
      <c r="B58" s="1" t="s">
        <v>14</v>
      </c>
      <c r="C58" s="4">
        <v>-25</v>
      </c>
      <c r="D58" s="2"/>
      <c r="E58" s="5"/>
      <c r="F58" s="5"/>
      <c r="G58" s="24"/>
      <c r="H58" s="24"/>
      <c r="I58" s="24"/>
      <c r="J58" s="24"/>
      <c r="K58" s="24"/>
      <c r="L58" s="17"/>
      <c r="M58" s="27">
        <v>55</v>
      </c>
      <c r="N58" s="13"/>
      <c r="O58" s="4">
        <v>-25</v>
      </c>
      <c r="P58" s="13"/>
      <c r="Q58" s="5"/>
      <c r="R58" s="5"/>
      <c r="S58" s="24"/>
      <c r="T58" s="24"/>
      <c r="U58" s="24"/>
      <c r="V58" s="24"/>
      <c r="W58" s="24"/>
      <c r="X58" s="4">
        <v>3</v>
      </c>
      <c r="Y58" s="36"/>
      <c r="Z58" s="24"/>
      <c r="AA58" s="24"/>
      <c r="AB58" s="24"/>
      <c r="AC58" s="24"/>
      <c r="AD58" s="13"/>
      <c r="AE58" s="13" t="s">
        <v>37</v>
      </c>
      <c r="AF58" s="28">
        <v>8.1999999999999993</v>
      </c>
      <c r="AG58" s="28">
        <v>3.02</v>
      </c>
      <c r="AH58" s="28">
        <f>AF58/AG58</f>
        <v>2.7152317880794699</v>
      </c>
    </row>
    <row r="59" spans="1:34" hidden="1" outlineLevel="1" x14ac:dyDescent="0.4">
      <c r="A59" s="12" t="s">
        <v>60</v>
      </c>
      <c r="C59" s="13">
        <v>-20</v>
      </c>
      <c r="D59" s="2"/>
      <c r="E59" s="5"/>
      <c r="F59" s="5"/>
      <c r="G59" s="24">
        <v>4.95</v>
      </c>
      <c r="H59" s="24">
        <v>2.4300000000000002</v>
      </c>
      <c r="I59" s="24"/>
      <c r="J59" s="24"/>
      <c r="K59" s="24">
        <f>G59/H59</f>
        <v>2.0370370370370368</v>
      </c>
      <c r="L59" s="17"/>
      <c r="M59" s="27">
        <v>55</v>
      </c>
      <c r="N59" s="13"/>
      <c r="O59" s="13">
        <v>-20</v>
      </c>
      <c r="P59" s="13"/>
      <c r="Q59" s="5"/>
      <c r="R59" s="5"/>
      <c r="S59" s="24">
        <v>4.04</v>
      </c>
      <c r="T59" s="24">
        <v>3</v>
      </c>
      <c r="U59" s="24"/>
      <c r="V59" s="24"/>
      <c r="W59" s="24">
        <f>S59/T59</f>
        <v>1.3466666666666667</v>
      </c>
      <c r="X59" s="19"/>
      <c r="Y59" s="36"/>
      <c r="Z59" s="24"/>
      <c r="AA59" s="24"/>
      <c r="AB59" s="24"/>
      <c r="AC59" s="24"/>
      <c r="AD59" s="13"/>
      <c r="AE59" s="13"/>
      <c r="AF59" s="28"/>
      <c r="AG59" s="28"/>
      <c r="AH59" s="28"/>
    </row>
    <row r="60" spans="1:34" hidden="1" collapsed="1" x14ac:dyDescent="0.4">
      <c r="A60" s="3"/>
      <c r="C60" s="2">
        <v>-15</v>
      </c>
      <c r="D60" s="2"/>
      <c r="E60" s="5"/>
      <c r="F60" s="5"/>
      <c r="G60" s="24">
        <v>7.4</v>
      </c>
      <c r="H60" s="24">
        <v>3.2</v>
      </c>
      <c r="I60" s="24"/>
      <c r="J60" s="24"/>
      <c r="K60" s="24">
        <v>2.31</v>
      </c>
      <c r="L60" s="17"/>
      <c r="M60" s="27">
        <v>55</v>
      </c>
      <c r="N60" s="13"/>
      <c r="O60" s="13">
        <v>-15</v>
      </c>
      <c r="P60" s="13"/>
      <c r="Q60" s="5"/>
      <c r="R60" s="5"/>
      <c r="S60" s="24">
        <v>5.4</v>
      </c>
      <c r="T60" s="24">
        <v>3.42</v>
      </c>
      <c r="U60" s="24"/>
      <c r="V60" s="24"/>
      <c r="W60" s="24">
        <f>S60/T60</f>
        <v>1.5789473684210529</v>
      </c>
      <c r="X60" s="19"/>
      <c r="Y60" s="36"/>
      <c r="Z60" s="24"/>
      <c r="AA60" s="24"/>
      <c r="AB60" s="24"/>
      <c r="AC60" s="24"/>
      <c r="AD60" s="13"/>
      <c r="AE60" s="13" t="s">
        <v>38</v>
      </c>
      <c r="AF60" s="28">
        <v>10.28</v>
      </c>
      <c r="AG60" s="28">
        <v>3.25</v>
      </c>
      <c r="AH60" s="28">
        <f t="shared" ref="AH60:AH61" si="5">AF60/AG60</f>
        <v>3.1630769230769227</v>
      </c>
    </row>
    <row r="61" spans="1:34" hidden="1" x14ac:dyDescent="0.4">
      <c r="A61" s="3"/>
      <c r="C61" s="2">
        <v>-10</v>
      </c>
      <c r="D61" s="2"/>
      <c r="E61" s="5"/>
      <c r="F61" s="5"/>
      <c r="G61" s="24"/>
      <c r="H61" s="24"/>
      <c r="I61" s="24"/>
      <c r="J61" s="24"/>
      <c r="K61" s="24"/>
      <c r="L61" s="17"/>
      <c r="M61" s="27">
        <v>60</v>
      </c>
      <c r="N61" s="13"/>
      <c r="O61" s="13">
        <v>-10</v>
      </c>
      <c r="P61" s="13"/>
      <c r="Q61" s="5"/>
      <c r="R61" s="5"/>
      <c r="S61" s="24"/>
      <c r="T61" s="24"/>
      <c r="U61" s="24"/>
      <c r="V61" s="24"/>
      <c r="W61" s="24"/>
      <c r="X61" s="19"/>
      <c r="Y61" s="36" t="s">
        <v>39</v>
      </c>
      <c r="Z61" s="24">
        <v>8</v>
      </c>
      <c r="AA61" s="24">
        <v>2.78</v>
      </c>
      <c r="AB61" s="24">
        <v>7.1</v>
      </c>
      <c r="AC61" s="24">
        <v>2.0299999999999998</v>
      </c>
      <c r="AD61" s="13"/>
      <c r="AE61" s="13" t="s">
        <v>40</v>
      </c>
      <c r="AF61" s="28">
        <v>9</v>
      </c>
      <c r="AG61" s="28">
        <v>2.15</v>
      </c>
      <c r="AH61" s="28">
        <f t="shared" si="5"/>
        <v>4.1860465116279073</v>
      </c>
    </row>
    <row r="62" spans="1:34" hidden="1" x14ac:dyDescent="0.4">
      <c r="A62" s="3"/>
      <c r="C62" s="2">
        <v>-7</v>
      </c>
      <c r="D62" s="2"/>
      <c r="E62" s="5"/>
      <c r="F62" s="5"/>
      <c r="G62" s="24">
        <v>6.25</v>
      </c>
      <c r="H62" s="24">
        <v>2.2000000000000002</v>
      </c>
      <c r="I62" s="24"/>
      <c r="J62" s="24"/>
      <c r="K62" s="24">
        <v>2.84</v>
      </c>
      <c r="L62" s="17"/>
      <c r="M62" s="27">
        <v>60</v>
      </c>
      <c r="N62" s="13"/>
      <c r="O62" s="13">
        <v>-7</v>
      </c>
      <c r="P62" s="13"/>
      <c r="Q62" s="5"/>
      <c r="R62" s="5"/>
      <c r="S62" s="24">
        <v>5.9</v>
      </c>
      <c r="T62" s="24">
        <v>3.06</v>
      </c>
      <c r="U62" s="24"/>
      <c r="V62" s="24"/>
      <c r="W62" s="24">
        <f>S62/T62</f>
        <v>1.9281045751633987</v>
      </c>
      <c r="X62" s="19"/>
      <c r="Y62" s="24">
        <f>AA62*(1.029-(0.05*Z62/G64))</f>
        <v>2.7822122222222223</v>
      </c>
      <c r="Z62" s="24">
        <v>7</v>
      </c>
      <c r="AA62" s="24">
        <v>2.81</v>
      </c>
      <c r="AB62" s="24">
        <v>7.1</v>
      </c>
      <c r="AC62" s="24">
        <v>2.34</v>
      </c>
      <c r="AD62" s="13"/>
      <c r="AE62" s="13"/>
      <c r="AF62" s="34"/>
      <c r="AG62" s="34"/>
      <c r="AH62" s="39"/>
    </row>
    <row r="63" spans="1:34" hidden="1" x14ac:dyDescent="0.4">
      <c r="A63" s="3"/>
      <c r="C63" s="2">
        <v>2</v>
      </c>
      <c r="D63" s="2"/>
      <c r="E63" s="5"/>
      <c r="F63" s="5"/>
      <c r="G63" s="24">
        <v>7</v>
      </c>
      <c r="H63" s="24">
        <v>2.06</v>
      </c>
      <c r="I63" s="24"/>
      <c r="J63" s="24"/>
      <c r="K63" s="24">
        <v>3.4</v>
      </c>
      <c r="L63" s="17"/>
      <c r="M63" s="27">
        <v>60</v>
      </c>
      <c r="N63" s="13"/>
      <c r="O63" s="13">
        <v>2</v>
      </c>
      <c r="P63" s="13"/>
      <c r="Q63" s="5"/>
      <c r="R63" s="5"/>
      <c r="S63" s="24">
        <v>6.3</v>
      </c>
      <c r="T63" s="24">
        <v>2.89</v>
      </c>
      <c r="U63" s="24"/>
      <c r="V63" s="24"/>
      <c r="W63" s="24">
        <f>S63/T63</f>
        <v>2.1799307958477505</v>
      </c>
      <c r="X63" s="19"/>
      <c r="Y63" s="24">
        <f>AA63*(0.906-(0.044*Z63/G64))</f>
        <v>3.442563555555556</v>
      </c>
      <c r="Z63" s="24">
        <v>4.3</v>
      </c>
      <c r="AA63" s="24">
        <v>3.89</v>
      </c>
      <c r="AB63" s="24">
        <v>4.3</v>
      </c>
      <c r="AC63" s="24">
        <v>3.16</v>
      </c>
      <c r="AD63" s="13"/>
      <c r="AE63" s="13"/>
      <c r="AF63" s="34"/>
      <c r="AG63" s="34"/>
      <c r="AH63" s="39"/>
    </row>
    <row r="64" spans="1:34" hidden="1" x14ac:dyDescent="0.4">
      <c r="A64" s="3"/>
      <c r="C64" s="2">
        <v>7</v>
      </c>
      <c r="D64" s="2"/>
      <c r="E64" s="5"/>
      <c r="F64" s="5"/>
      <c r="G64" s="24">
        <v>9</v>
      </c>
      <c r="H64" s="24">
        <v>1.98</v>
      </c>
      <c r="I64" s="24"/>
      <c r="J64" s="24"/>
      <c r="K64" s="24">
        <v>4.55</v>
      </c>
      <c r="L64" s="17"/>
      <c r="M64" s="27">
        <v>60</v>
      </c>
      <c r="N64" s="13"/>
      <c r="O64" s="13">
        <v>7</v>
      </c>
      <c r="P64" s="13"/>
      <c r="Q64" s="5"/>
      <c r="R64" s="5"/>
      <c r="S64" s="24">
        <v>8.9</v>
      </c>
      <c r="T64" s="24">
        <v>3.04</v>
      </c>
      <c r="U64" s="24"/>
      <c r="V64" s="24"/>
      <c r="W64" s="24">
        <f>S64/T64</f>
        <v>2.9276315789473686</v>
      </c>
      <c r="X64" s="19"/>
      <c r="Y64" s="24">
        <f>K64</f>
        <v>4.55</v>
      </c>
      <c r="Z64" s="24">
        <v>2.8</v>
      </c>
      <c r="AA64" s="24">
        <v>7.16</v>
      </c>
      <c r="AB64" s="24">
        <v>2.6</v>
      </c>
      <c r="AC64" s="24">
        <v>4.54</v>
      </c>
      <c r="AD64" s="13"/>
      <c r="AE64" s="13"/>
      <c r="AF64" s="34"/>
      <c r="AG64" s="34"/>
      <c r="AH64" s="39"/>
    </row>
    <row r="65" spans="1:34" hidden="1" x14ac:dyDescent="0.4">
      <c r="A65" s="3"/>
      <c r="C65" s="2">
        <v>12</v>
      </c>
      <c r="D65" s="2"/>
      <c r="E65" s="5"/>
      <c r="F65" s="5"/>
      <c r="G65" s="24"/>
      <c r="H65" s="24"/>
      <c r="I65" s="24"/>
      <c r="J65" s="24"/>
      <c r="K65" s="24"/>
      <c r="L65" s="17"/>
      <c r="M65" s="27">
        <v>60</v>
      </c>
      <c r="N65" s="13"/>
      <c r="O65" s="13">
        <v>12</v>
      </c>
      <c r="P65" s="13"/>
      <c r="Q65" s="5"/>
      <c r="R65" s="5"/>
      <c r="S65" s="24"/>
      <c r="T65" s="24"/>
      <c r="U65" s="24"/>
      <c r="V65" s="24"/>
      <c r="W65" s="24"/>
      <c r="X65" s="19"/>
      <c r="Y65" s="36"/>
      <c r="Z65" s="24">
        <v>3</v>
      </c>
      <c r="AA65" s="24">
        <v>8.74</v>
      </c>
      <c r="AB65" s="24">
        <v>3.2</v>
      </c>
      <c r="AC65" s="24">
        <v>6.61</v>
      </c>
      <c r="AD65" s="13"/>
      <c r="AE65" s="13"/>
      <c r="AF65" s="34"/>
      <c r="AG65" s="34"/>
      <c r="AH65" s="39"/>
    </row>
    <row r="66" spans="1:34" hidden="1" x14ac:dyDescent="0.4">
      <c r="A66" s="8"/>
      <c r="B66" s="8"/>
      <c r="C66" s="9"/>
      <c r="D66" s="9"/>
      <c r="E66" s="18"/>
      <c r="F66" s="18"/>
      <c r="G66" s="30"/>
      <c r="H66" s="30"/>
      <c r="I66" s="30"/>
      <c r="J66" s="30"/>
      <c r="K66" s="30"/>
      <c r="L66" s="18"/>
      <c r="M66" s="30"/>
      <c r="N66" s="14"/>
      <c r="O66" s="14"/>
      <c r="P66" s="14"/>
      <c r="Q66" s="18"/>
      <c r="R66" s="18"/>
      <c r="S66" s="30"/>
      <c r="T66" s="30"/>
      <c r="U66" s="30"/>
      <c r="V66" s="30"/>
      <c r="W66" s="30"/>
      <c r="X66" s="18"/>
      <c r="Y66" s="31"/>
      <c r="Z66" s="31"/>
      <c r="AA66" s="31"/>
      <c r="AB66" s="31"/>
      <c r="AC66" s="31"/>
      <c r="AD66" s="14"/>
      <c r="AE66" s="14"/>
      <c r="AF66" s="30"/>
      <c r="AG66" s="30"/>
      <c r="AH66" s="31"/>
    </row>
    <row r="67" spans="1:34" hidden="1" x14ac:dyDescent="0.4">
      <c r="A67" s="3" t="s">
        <v>58</v>
      </c>
      <c r="B67" s="1" t="s">
        <v>14</v>
      </c>
      <c r="C67" s="4">
        <v>-25</v>
      </c>
      <c r="D67" s="2"/>
      <c r="E67" s="5"/>
      <c r="F67" s="5"/>
      <c r="G67" s="24"/>
      <c r="H67" s="24"/>
      <c r="I67" s="24"/>
      <c r="J67" s="24"/>
      <c r="K67" s="24"/>
      <c r="L67" s="17"/>
      <c r="M67" s="27">
        <v>55</v>
      </c>
      <c r="N67" s="13"/>
      <c r="O67" s="4">
        <v>-25</v>
      </c>
      <c r="P67" s="13"/>
      <c r="Q67" s="5"/>
      <c r="R67" s="5"/>
      <c r="S67" s="24"/>
      <c r="T67" s="24"/>
      <c r="U67" s="24"/>
      <c r="V67" s="24"/>
      <c r="W67" s="24"/>
      <c r="X67" s="4">
        <v>6</v>
      </c>
      <c r="Y67" s="36"/>
      <c r="Z67" s="24"/>
      <c r="AA67" s="24"/>
      <c r="AB67" s="24"/>
      <c r="AC67" s="24"/>
      <c r="AD67" s="13"/>
      <c r="AE67" s="13" t="s">
        <v>37</v>
      </c>
      <c r="AF67" s="28">
        <v>8.1999999999999993</v>
      </c>
      <c r="AG67" s="28">
        <v>3.02</v>
      </c>
      <c r="AH67" s="28">
        <f>AF67/AG67</f>
        <v>2.7152317880794699</v>
      </c>
    </row>
    <row r="68" spans="1:34" hidden="1" outlineLevel="1" x14ac:dyDescent="0.4">
      <c r="A68" s="12" t="s">
        <v>60</v>
      </c>
      <c r="C68" s="13">
        <v>-20</v>
      </c>
      <c r="D68" s="2"/>
      <c r="E68" s="5"/>
      <c r="F68" s="5"/>
      <c r="G68" s="24">
        <v>4.95</v>
      </c>
      <c r="H68" s="24">
        <v>2.4300000000000002</v>
      </c>
      <c r="I68" s="24"/>
      <c r="J68" s="24"/>
      <c r="K68" s="24">
        <f>G68/H68</f>
        <v>2.0370370370370368</v>
      </c>
      <c r="L68" s="17"/>
      <c r="M68" s="27">
        <v>55</v>
      </c>
      <c r="N68" s="13"/>
      <c r="O68" s="13">
        <v>-20</v>
      </c>
      <c r="P68" s="13"/>
      <c r="Q68" s="5"/>
      <c r="R68" s="5"/>
      <c r="S68" s="24">
        <v>4.04</v>
      </c>
      <c r="T68" s="24">
        <v>3</v>
      </c>
      <c r="U68" s="24"/>
      <c r="V68" s="24"/>
      <c r="W68" s="24">
        <f>S68/T68</f>
        <v>1.3466666666666667</v>
      </c>
      <c r="X68" s="19"/>
      <c r="Y68" s="36"/>
      <c r="Z68" s="24"/>
      <c r="AA68" s="24"/>
      <c r="AB68" s="24"/>
      <c r="AC68" s="24"/>
      <c r="AD68" s="13"/>
      <c r="AE68" s="13"/>
      <c r="AF68" s="28"/>
      <c r="AG68" s="28"/>
      <c r="AH68" s="28"/>
    </row>
    <row r="69" spans="1:34" hidden="1" collapsed="1" x14ac:dyDescent="0.4">
      <c r="A69" s="3"/>
      <c r="C69" s="2">
        <v>-15</v>
      </c>
      <c r="D69" s="2"/>
      <c r="E69" s="5"/>
      <c r="F69" s="5"/>
      <c r="G69" s="24">
        <v>7.4</v>
      </c>
      <c r="H69" s="24">
        <v>3.2</v>
      </c>
      <c r="I69" s="24"/>
      <c r="J69" s="24"/>
      <c r="K69" s="24">
        <v>2.31</v>
      </c>
      <c r="L69" s="17"/>
      <c r="M69" s="27">
        <v>55</v>
      </c>
      <c r="N69" s="13"/>
      <c r="O69" s="13">
        <v>-15</v>
      </c>
      <c r="P69" s="13"/>
      <c r="Q69" s="5"/>
      <c r="R69" s="5"/>
      <c r="S69" s="24">
        <v>5.4</v>
      </c>
      <c r="T69" s="24">
        <v>3.42</v>
      </c>
      <c r="U69" s="24"/>
      <c r="V69" s="24"/>
      <c r="W69" s="24">
        <f>S69/T69</f>
        <v>1.5789473684210529</v>
      </c>
      <c r="X69" s="19"/>
      <c r="Y69" s="36"/>
      <c r="Z69" s="24"/>
      <c r="AA69" s="24"/>
      <c r="AB69" s="24"/>
      <c r="AC69" s="24"/>
      <c r="AD69" s="13"/>
      <c r="AE69" s="13" t="s">
        <v>38</v>
      </c>
      <c r="AF69" s="28">
        <v>10.28</v>
      </c>
      <c r="AG69" s="28">
        <v>3.25</v>
      </c>
      <c r="AH69" s="28">
        <f t="shared" ref="AH69:AH70" si="6">AF69/AG69</f>
        <v>3.1630769230769227</v>
      </c>
    </row>
    <row r="70" spans="1:34" hidden="1" x14ac:dyDescent="0.4">
      <c r="A70" s="3"/>
      <c r="C70" s="2">
        <v>-10</v>
      </c>
      <c r="D70" s="2"/>
      <c r="E70" s="5"/>
      <c r="F70" s="5"/>
      <c r="G70" s="24"/>
      <c r="H70" s="24"/>
      <c r="I70" s="24"/>
      <c r="J70" s="24"/>
      <c r="K70" s="24"/>
      <c r="L70" s="17"/>
      <c r="M70" s="27">
        <v>60</v>
      </c>
      <c r="N70" s="13"/>
      <c r="O70" s="13">
        <v>-10</v>
      </c>
      <c r="P70" s="13"/>
      <c r="Q70" s="5"/>
      <c r="R70" s="5"/>
      <c r="S70" s="24"/>
      <c r="T70" s="24"/>
      <c r="U70" s="24"/>
      <c r="V70" s="24"/>
      <c r="W70" s="24"/>
      <c r="X70" s="19"/>
      <c r="Y70" s="36" t="s">
        <v>39</v>
      </c>
      <c r="Z70" s="24">
        <v>8</v>
      </c>
      <c r="AA70" s="24">
        <v>2.78</v>
      </c>
      <c r="AB70" s="24">
        <v>7.1</v>
      </c>
      <c r="AC70" s="24">
        <v>2.0299999999999998</v>
      </c>
      <c r="AD70" s="13"/>
      <c r="AE70" s="13" t="s">
        <v>40</v>
      </c>
      <c r="AF70" s="28">
        <v>9</v>
      </c>
      <c r="AG70" s="28">
        <v>2.15</v>
      </c>
      <c r="AH70" s="28">
        <f t="shared" si="6"/>
        <v>4.1860465116279073</v>
      </c>
    </row>
    <row r="71" spans="1:34" hidden="1" x14ac:dyDescent="0.4">
      <c r="A71" s="3"/>
      <c r="C71" s="2">
        <v>-7</v>
      </c>
      <c r="D71" s="2"/>
      <c r="E71" s="5"/>
      <c r="F71" s="5"/>
      <c r="G71" s="24">
        <v>6.25</v>
      </c>
      <c r="H71" s="24">
        <v>2.2000000000000002</v>
      </c>
      <c r="I71" s="24"/>
      <c r="J71" s="24"/>
      <c r="K71" s="24">
        <v>2.84</v>
      </c>
      <c r="L71" s="17"/>
      <c r="M71" s="27">
        <v>60</v>
      </c>
      <c r="N71" s="13"/>
      <c r="O71" s="13">
        <v>-7</v>
      </c>
      <c r="P71" s="13"/>
      <c r="Q71" s="5"/>
      <c r="R71" s="5"/>
      <c r="S71" s="24">
        <v>5.9</v>
      </c>
      <c r="T71" s="24">
        <v>3.06</v>
      </c>
      <c r="U71" s="24"/>
      <c r="V71" s="24"/>
      <c r="W71" s="24">
        <f>S71/T71</f>
        <v>1.9281045751633987</v>
      </c>
      <c r="X71" s="19"/>
      <c r="Y71" s="24">
        <f>AA71*(1.029-(0.05*Z71/G73))</f>
        <v>2.7822122222222223</v>
      </c>
      <c r="Z71" s="24">
        <v>7</v>
      </c>
      <c r="AA71" s="24">
        <v>2.81</v>
      </c>
      <c r="AB71" s="24">
        <v>7.1</v>
      </c>
      <c r="AC71" s="24">
        <v>2.34</v>
      </c>
      <c r="AD71" s="13"/>
      <c r="AE71" s="13"/>
      <c r="AF71" s="34"/>
      <c r="AG71" s="34"/>
      <c r="AH71" s="33"/>
    </row>
    <row r="72" spans="1:34" hidden="1" x14ac:dyDescent="0.4">
      <c r="A72" s="3"/>
      <c r="C72" s="2">
        <v>2</v>
      </c>
      <c r="D72" s="2"/>
      <c r="E72" s="5"/>
      <c r="F72" s="5"/>
      <c r="G72" s="24">
        <v>7</v>
      </c>
      <c r="H72" s="24">
        <v>2.06</v>
      </c>
      <c r="I72" s="24"/>
      <c r="J72" s="24"/>
      <c r="K72" s="24">
        <v>3.4</v>
      </c>
      <c r="L72" s="17"/>
      <c r="M72" s="27">
        <v>60</v>
      </c>
      <c r="N72" s="13"/>
      <c r="O72" s="13">
        <v>2</v>
      </c>
      <c r="P72" s="13"/>
      <c r="Q72" s="5"/>
      <c r="R72" s="5"/>
      <c r="S72" s="24">
        <v>6.3</v>
      </c>
      <c r="T72" s="24">
        <v>2.89</v>
      </c>
      <c r="U72" s="24"/>
      <c r="V72" s="24"/>
      <c r="W72" s="24">
        <f>S72/T72</f>
        <v>2.1799307958477505</v>
      </c>
      <c r="X72" s="19"/>
      <c r="Y72" s="24">
        <f>AA72*(0.906-(0.044*Z72/G73))</f>
        <v>3.442563555555556</v>
      </c>
      <c r="Z72" s="24">
        <v>4.3</v>
      </c>
      <c r="AA72" s="24">
        <v>3.89</v>
      </c>
      <c r="AB72" s="24">
        <v>4.3</v>
      </c>
      <c r="AC72" s="24">
        <v>3.16</v>
      </c>
      <c r="AD72" s="13"/>
      <c r="AE72" s="13"/>
      <c r="AF72" s="34"/>
      <c r="AG72" s="34"/>
      <c r="AH72" s="33"/>
    </row>
    <row r="73" spans="1:34" hidden="1" x14ac:dyDescent="0.4">
      <c r="A73" s="3"/>
      <c r="C73" s="2">
        <v>7</v>
      </c>
      <c r="D73" s="2"/>
      <c r="E73" s="5"/>
      <c r="F73" s="5"/>
      <c r="G73" s="24">
        <v>9</v>
      </c>
      <c r="H73" s="24">
        <v>1.98</v>
      </c>
      <c r="I73" s="24"/>
      <c r="J73" s="24"/>
      <c r="K73" s="24">
        <v>4.55</v>
      </c>
      <c r="L73" s="17"/>
      <c r="M73" s="27">
        <v>60</v>
      </c>
      <c r="N73" s="13"/>
      <c r="O73" s="13">
        <v>7</v>
      </c>
      <c r="P73" s="13"/>
      <c r="Q73" s="5"/>
      <c r="R73" s="5"/>
      <c r="S73" s="24">
        <v>8.9</v>
      </c>
      <c r="T73" s="24">
        <v>3.04</v>
      </c>
      <c r="U73" s="24"/>
      <c r="V73" s="24"/>
      <c r="W73" s="24">
        <f>S73/T73</f>
        <v>2.9276315789473686</v>
      </c>
      <c r="X73" s="19"/>
      <c r="Y73" s="24">
        <f>K73</f>
        <v>4.55</v>
      </c>
      <c r="Z73" s="24">
        <v>2.8</v>
      </c>
      <c r="AA73" s="24">
        <v>7.16</v>
      </c>
      <c r="AB73" s="24">
        <v>2.6</v>
      </c>
      <c r="AC73" s="24">
        <v>4.54</v>
      </c>
      <c r="AD73" s="13"/>
      <c r="AE73" s="13"/>
      <c r="AF73" s="34"/>
      <c r="AG73" s="34"/>
      <c r="AH73" s="33"/>
    </row>
    <row r="74" spans="1:34" hidden="1" x14ac:dyDescent="0.4">
      <c r="A74" s="3"/>
      <c r="C74" s="2">
        <v>12</v>
      </c>
      <c r="D74" s="2"/>
      <c r="E74" s="5"/>
      <c r="F74" s="5"/>
      <c r="G74" s="24"/>
      <c r="H74" s="24"/>
      <c r="I74" s="24"/>
      <c r="J74" s="24"/>
      <c r="K74" s="24"/>
      <c r="L74" s="17"/>
      <c r="M74" s="27">
        <v>60</v>
      </c>
      <c r="N74" s="13"/>
      <c r="O74" s="13">
        <v>12</v>
      </c>
      <c r="P74" s="13"/>
      <c r="Q74" s="5"/>
      <c r="R74" s="5"/>
      <c r="S74" s="24"/>
      <c r="T74" s="24"/>
      <c r="U74" s="24"/>
      <c r="V74" s="24"/>
      <c r="W74" s="24"/>
      <c r="X74" s="19"/>
      <c r="Y74" s="36"/>
      <c r="Z74" s="24">
        <v>3</v>
      </c>
      <c r="AA74" s="24">
        <v>8.74</v>
      </c>
      <c r="AB74" s="24">
        <v>3.2</v>
      </c>
      <c r="AC74" s="24">
        <v>6.61</v>
      </c>
      <c r="AD74" s="13"/>
      <c r="AE74" s="13"/>
      <c r="AF74" s="34"/>
      <c r="AG74" s="34"/>
      <c r="AH74" s="33"/>
    </row>
    <row r="75" spans="1:34" hidden="1" x14ac:dyDescent="0.4">
      <c r="M75" s="33"/>
      <c r="S75" s="33"/>
      <c r="T75" s="33"/>
      <c r="U75" s="33"/>
      <c r="V75" s="33"/>
      <c r="W75" s="33"/>
      <c r="Y75" s="33"/>
      <c r="Z75" s="33"/>
      <c r="AA75" s="33"/>
      <c r="AB75" s="33"/>
      <c r="AC75" s="33"/>
      <c r="AF75" s="33"/>
      <c r="AG75" s="33"/>
      <c r="AH75" s="33"/>
    </row>
    <row r="76" spans="1:34" hidden="1" x14ac:dyDescent="0.4">
      <c r="S76" s="33"/>
      <c r="T76" s="33"/>
      <c r="U76" s="33"/>
      <c r="V76" s="33"/>
      <c r="W76" s="33"/>
      <c r="Y76" s="33"/>
      <c r="Z76" s="33"/>
      <c r="AA76" s="33"/>
      <c r="AB76" s="33"/>
      <c r="AC76" s="33"/>
      <c r="AF76" s="33"/>
      <c r="AG76" s="33"/>
      <c r="AH76" s="33"/>
    </row>
    <row r="77" spans="1:34" x14ac:dyDescent="0.4">
      <c r="A77" s="47" t="s">
        <v>41</v>
      </c>
      <c r="S77" s="33"/>
      <c r="T77" s="33"/>
      <c r="U77" s="33"/>
      <c r="V77" s="33"/>
      <c r="W77" s="33"/>
      <c r="Y77" s="33"/>
      <c r="Z77" s="33"/>
      <c r="AA77" s="33"/>
      <c r="AB77" s="33"/>
      <c r="AC77" s="33"/>
      <c r="AF77" s="33"/>
      <c r="AG77" s="33"/>
      <c r="AH77" s="33"/>
    </row>
    <row r="78" spans="1:34" x14ac:dyDescent="0.4">
      <c r="A78" t="s">
        <v>85</v>
      </c>
      <c r="AF78" s="33"/>
      <c r="AG78" s="33"/>
      <c r="AH78" s="33"/>
    </row>
    <row r="79" spans="1:34" x14ac:dyDescent="0.4">
      <c r="A79" t="s">
        <v>84</v>
      </c>
      <c r="F79" s="10"/>
      <c r="AF79" s="33"/>
      <c r="AG79" s="33"/>
      <c r="AH79" s="33"/>
    </row>
    <row r="80" spans="1:34" x14ac:dyDescent="0.4">
      <c r="F80" s="11"/>
      <c r="AF80" s="33"/>
      <c r="AG80" s="33"/>
      <c r="AH80" s="33"/>
    </row>
    <row r="81" spans="1:34" x14ac:dyDescent="0.4">
      <c r="A81"/>
      <c r="AF81" s="33"/>
      <c r="AG81" s="33"/>
      <c r="AH81" s="33"/>
    </row>
    <row r="82" spans="1:34" x14ac:dyDescent="0.4">
      <c r="A82"/>
      <c r="AF82" s="33"/>
      <c r="AG82" s="33"/>
      <c r="AH82" s="33"/>
    </row>
    <row r="83" spans="1:34" x14ac:dyDescent="0.4">
      <c r="A83"/>
      <c r="AF83" s="33"/>
      <c r="AG83" s="33"/>
      <c r="AH83" s="33"/>
    </row>
    <row r="84" spans="1:34" x14ac:dyDescent="0.4">
      <c r="A84"/>
      <c r="AF84" s="33"/>
      <c r="AG84" s="33"/>
      <c r="AH84" s="33"/>
    </row>
    <row r="85" spans="1:34" x14ac:dyDescent="0.4">
      <c r="A85"/>
    </row>
    <row r="86" spans="1:34" x14ac:dyDescent="0.4">
      <c r="A86"/>
    </row>
    <row r="87" spans="1:34" x14ac:dyDescent="0.4">
      <c r="A87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C04C-DA7F-4ECF-90B2-A7390A04464E}">
  <sheetPr>
    <tabColor theme="4"/>
  </sheetPr>
  <dimension ref="A1:AK24"/>
  <sheetViews>
    <sheetView zoomScaleNormal="100" workbookViewId="0">
      <pane xSplit="3" ySplit="3" topLeftCell="D4" activePane="bottomRight" state="frozen"/>
      <selection activeCell="AF12" sqref="AF12"/>
      <selection pane="topRight" activeCell="AF12" sqref="AF12"/>
      <selection pane="bottomLeft" activeCell="AF12" sqref="AF12"/>
      <selection pane="bottomRight" activeCell="B4" sqref="B4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s="1" customFormat="1" x14ac:dyDescent="0.4">
      <c r="A4" s="3" t="s">
        <v>80</v>
      </c>
      <c r="B4" s="1" t="s">
        <v>81</v>
      </c>
      <c r="C4" s="4">
        <v>-28</v>
      </c>
      <c r="D4" s="2"/>
      <c r="E4" s="5"/>
      <c r="F4" s="5"/>
      <c r="G4" s="5"/>
      <c r="H4" s="5"/>
      <c r="I4" s="16"/>
      <c r="J4" s="5"/>
      <c r="K4" s="5"/>
      <c r="L4" s="17"/>
      <c r="M4" s="6">
        <v>55</v>
      </c>
      <c r="N4" s="13"/>
      <c r="O4" s="4">
        <v>-28</v>
      </c>
      <c r="P4" s="13"/>
      <c r="Q4" s="5"/>
      <c r="R4" s="5"/>
      <c r="S4" s="5"/>
      <c r="T4" s="5"/>
      <c r="U4" s="5"/>
      <c r="V4" s="5"/>
      <c r="W4" s="5"/>
      <c r="X4" s="4">
        <v>9</v>
      </c>
      <c r="Y4" s="17"/>
      <c r="Z4" s="5"/>
      <c r="AA4" s="5"/>
      <c r="AB4" s="5"/>
      <c r="AC4" s="5"/>
      <c r="AD4" s="13"/>
      <c r="AE4" s="13" t="s">
        <v>37</v>
      </c>
      <c r="AF4" s="7">
        <v>10.7</v>
      </c>
      <c r="AG4" s="7">
        <v>4</v>
      </c>
      <c r="AH4" s="7">
        <f>AF4/AG4</f>
        <v>2.6749999999999998</v>
      </c>
    </row>
    <row r="5" spans="1:37" x14ac:dyDescent="0.4">
      <c r="A5" s="3"/>
      <c r="C5" s="13">
        <v>-20</v>
      </c>
      <c r="D5" s="2"/>
      <c r="E5" s="5"/>
      <c r="F5" s="5"/>
      <c r="G5" s="5">
        <v>11.5</v>
      </c>
      <c r="H5" s="5">
        <v>6.05</v>
      </c>
      <c r="I5" s="16"/>
      <c r="J5" s="5"/>
      <c r="K5" s="5">
        <f>G5/H5</f>
        <v>1.9008264462809918</v>
      </c>
      <c r="L5" s="17"/>
      <c r="M5" s="6">
        <v>55</v>
      </c>
      <c r="N5" s="13"/>
      <c r="O5" s="13">
        <v>-20</v>
      </c>
      <c r="P5" s="13"/>
      <c r="Q5" s="5"/>
      <c r="R5" s="5"/>
      <c r="S5" s="5">
        <v>8.6999999999999993</v>
      </c>
      <c r="T5" s="5">
        <v>6</v>
      </c>
      <c r="U5" s="5"/>
      <c r="V5" s="5"/>
      <c r="W5" s="5">
        <f>S5/T5</f>
        <v>1.45</v>
      </c>
      <c r="X5" s="19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7" x14ac:dyDescent="0.4">
      <c r="A6" s="3"/>
      <c r="C6" s="2">
        <v>-15</v>
      </c>
      <c r="D6" s="2"/>
      <c r="E6" s="5"/>
      <c r="F6" s="5"/>
      <c r="G6" s="5">
        <v>12</v>
      </c>
      <c r="H6" s="5">
        <v>4.9000000000000004</v>
      </c>
      <c r="I6" s="16"/>
      <c r="J6" s="5"/>
      <c r="K6" s="5">
        <f>G6/H6</f>
        <v>2.4489795918367343</v>
      </c>
      <c r="L6" s="17"/>
      <c r="M6" s="6">
        <v>55</v>
      </c>
      <c r="N6" s="13"/>
      <c r="O6" s="13">
        <v>-15</v>
      </c>
      <c r="P6" s="13"/>
      <c r="Q6" s="5"/>
      <c r="R6" s="5"/>
      <c r="S6" s="5">
        <v>10.5</v>
      </c>
      <c r="T6" s="5">
        <v>6.2</v>
      </c>
      <c r="U6" s="5"/>
      <c r="V6" s="5"/>
      <c r="W6" s="5">
        <f>S6/T6</f>
        <v>1.6935483870967742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11.42</v>
      </c>
      <c r="AG6" s="7">
        <v>4.2</v>
      </c>
      <c r="AH6" s="7">
        <f>AF6/AG6</f>
        <v>2.7190476190476187</v>
      </c>
    </row>
    <row r="7" spans="1:37" x14ac:dyDescent="0.4">
      <c r="A7" s="3"/>
      <c r="C7" s="2">
        <v>-10</v>
      </c>
      <c r="D7" s="2"/>
      <c r="E7" s="5"/>
      <c r="F7" s="5"/>
      <c r="G7" s="5"/>
      <c r="H7" s="5"/>
      <c r="I7" s="16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9</v>
      </c>
      <c r="AA7" s="5">
        <v>2.9</v>
      </c>
      <c r="AB7" s="5">
        <v>9</v>
      </c>
      <c r="AC7" s="5">
        <v>2.04</v>
      </c>
      <c r="AD7" s="13"/>
      <c r="AE7" s="13" t="s">
        <v>40</v>
      </c>
      <c r="AF7" s="7">
        <v>10.7</v>
      </c>
      <c r="AG7" s="7">
        <v>2.73</v>
      </c>
      <c r="AH7" s="7">
        <f>AF7/AG7</f>
        <v>3.9194139194139193</v>
      </c>
    </row>
    <row r="8" spans="1:37" x14ac:dyDescent="0.4">
      <c r="A8" s="3"/>
      <c r="C8" s="2">
        <v>-7</v>
      </c>
      <c r="D8" s="2"/>
      <c r="E8" s="5"/>
      <c r="F8" s="5"/>
      <c r="G8" s="5">
        <v>12</v>
      </c>
      <c r="H8" s="5">
        <v>4.41</v>
      </c>
      <c r="I8" s="16"/>
      <c r="J8" s="5"/>
      <c r="K8" s="5">
        <f>G8/H8</f>
        <v>2.7210884353741496</v>
      </c>
      <c r="L8" s="17"/>
      <c r="M8" s="6">
        <v>60</v>
      </c>
      <c r="N8" s="13"/>
      <c r="O8" s="13">
        <v>-7</v>
      </c>
      <c r="P8" s="13"/>
      <c r="Q8" s="5"/>
      <c r="R8" s="5"/>
      <c r="S8" s="5">
        <v>12</v>
      </c>
      <c r="T8" s="5">
        <v>5.24</v>
      </c>
      <c r="U8" s="5"/>
      <c r="V8" s="5"/>
      <c r="W8" s="5">
        <f>S8/T8</f>
        <v>2.2900763358778624</v>
      </c>
      <c r="X8" s="19"/>
      <c r="Y8" s="5">
        <f>AA8*(1.029-(0.05*Z8/G10))</f>
        <v>3.0276641322314046</v>
      </c>
      <c r="Z8" s="5">
        <v>8</v>
      </c>
      <c r="AA8" s="5">
        <v>3.04</v>
      </c>
      <c r="AB8" s="5">
        <v>8</v>
      </c>
      <c r="AC8" s="5">
        <v>2.33</v>
      </c>
      <c r="AD8" s="13"/>
      <c r="AE8" s="13"/>
      <c r="AF8" s="34"/>
      <c r="AG8" s="34"/>
      <c r="AH8" s="33"/>
      <c r="AK8" s="23"/>
    </row>
    <row r="9" spans="1:37" x14ac:dyDescent="0.4">
      <c r="A9" s="3"/>
      <c r="C9" s="2">
        <v>2</v>
      </c>
      <c r="D9" s="2"/>
      <c r="E9" s="5"/>
      <c r="F9" s="5"/>
      <c r="G9" s="5">
        <v>12</v>
      </c>
      <c r="H9" s="5">
        <v>3.49</v>
      </c>
      <c r="I9" s="16"/>
      <c r="J9" s="5"/>
      <c r="K9" s="5">
        <f>G9/H9</f>
        <v>3.4383954154727792</v>
      </c>
      <c r="L9" s="17"/>
      <c r="M9" s="6">
        <v>60</v>
      </c>
      <c r="N9" s="13"/>
      <c r="O9" s="13">
        <v>2</v>
      </c>
      <c r="P9" s="13"/>
      <c r="Q9" s="5"/>
      <c r="R9" s="5"/>
      <c r="S9" s="5">
        <v>12</v>
      </c>
      <c r="T9" s="5">
        <v>5.24</v>
      </c>
      <c r="U9" s="5"/>
      <c r="V9" s="5"/>
      <c r="W9" s="5">
        <f>S9/T9</f>
        <v>2.2900763358778624</v>
      </c>
      <c r="X9" s="19"/>
      <c r="Y9" s="5">
        <f>AA9*(0.906-(0.044*Z9/G10))</f>
        <v>4.3787363636363636</v>
      </c>
      <c r="Z9" s="5">
        <v>4.9000000000000004</v>
      </c>
      <c r="AA9" s="5">
        <v>4.93</v>
      </c>
      <c r="AB9" s="5">
        <v>4.9000000000000004</v>
      </c>
      <c r="AC9" s="5">
        <v>3.46</v>
      </c>
      <c r="AD9" s="13"/>
      <c r="AE9" s="13"/>
      <c r="AF9" s="34"/>
      <c r="AG9" s="34"/>
      <c r="AH9" s="33"/>
      <c r="AK9" s="23"/>
    </row>
    <row r="10" spans="1:37" x14ac:dyDescent="0.4">
      <c r="A10" s="3"/>
      <c r="C10" s="2">
        <v>7</v>
      </c>
      <c r="D10" s="2"/>
      <c r="E10" s="5"/>
      <c r="F10" s="5"/>
      <c r="G10" s="5">
        <v>12.1</v>
      </c>
      <c r="H10" s="5">
        <v>2.5</v>
      </c>
      <c r="I10" s="16"/>
      <c r="J10" s="5"/>
      <c r="K10" s="5">
        <f>G10/H10</f>
        <v>4.84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12.1</v>
      </c>
      <c r="T10" s="5">
        <v>3.98</v>
      </c>
      <c r="U10" s="5"/>
      <c r="V10" s="5"/>
      <c r="W10" s="5">
        <f>S10/T10</f>
        <v>3.0402010050251254</v>
      </c>
      <c r="X10" s="19"/>
      <c r="Y10" s="5">
        <f>K10</f>
        <v>4.84</v>
      </c>
      <c r="Z10" s="5">
        <v>5.4</v>
      </c>
      <c r="AA10" s="5">
        <v>6.26</v>
      </c>
      <c r="AB10" s="5">
        <v>5.0999999999999996</v>
      </c>
      <c r="AC10" s="5">
        <v>4.4800000000000004</v>
      </c>
      <c r="AD10" s="13"/>
      <c r="AE10" s="13"/>
      <c r="AF10" s="34"/>
      <c r="AG10" s="34"/>
      <c r="AH10" s="33"/>
      <c r="AK10" s="23"/>
    </row>
    <row r="11" spans="1:37" x14ac:dyDescent="0.4">
      <c r="A11" s="3"/>
      <c r="C11" s="2">
        <v>12</v>
      </c>
      <c r="D11" s="2"/>
      <c r="E11" s="5"/>
      <c r="F11" s="5"/>
      <c r="G11" s="5"/>
      <c r="H11" s="5"/>
      <c r="I11" s="16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6.3</v>
      </c>
      <c r="AA11" s="5">
        <v>8.19</v>
      </c>
      <c r="AB11" s="5">
        <v>6.1</v>
      </c>
      <c r="AC11" s="5">
        <v>6.02</v>
      </c>
      <c r="AD11" s="13"/>
      <c r="AE11" s="13"/>
      <c r="AF11" s="34"/>
      <c r="AG11" s="34"/>
      <c r="AH11" s="33"/>
    </row>
    <row r="12" spans="1:37" x14ac:dyDescent="0.4">
      <c r="A12" s="8"/>
      <c r="B12" s="8"/>
      <c r="C12" s="9"/>
      <c r="D12" s="9"/>
      <c r="E12" s="18"/>
      <c r="F12" s="18"/>
      <c r="G12" s="30"/>
      <c r="H12" s="30"/>
      <c r="I12" s="30"/>
      <c r="J12" s="30"/>
      <c r="K12" s="30"/>
      <c r="L12" s="18"/>
      <c r="M12" s="30"/>
      <c r="N12" s="14"/>
      <c r="O12" s="14"/>
      <c r="P12" s="14"/>
      <c r="Q12" s="18"/>
      <c r="R12" s="18"/>
      <c r="S12" s="30"/>
      <c r="T12" s="30"/>
      <c r="U12" s="30"/>
      <c r="V12" s="30"/>
      <c r="W12" s="30"/>
      <c r="X12" s="18"/>
      <c r="Y12" s="31"/>
      <c r="Z12" s="31"/>
      <c r="AA12" s="31"/>
      <c r="AB12" s="31"/>
      <c r="AC12" s="31"/>
      <c r="AD12" s="14"/>
      <c r="AE12" s="14"/>
      <c r="AF12" s="30"/>
      <c r="AG12" s="30"/>
      <c r="AH12" s="30"/>
    </row>
    <row r="13" spans="1:37" x14ac:dyDescent="0.4">
      <c r="S13" s="33"/>
      <c r="T13" s="33"/>
      <c r="U13" s="33"/>
      <c r="V13" s="33"/>
      <c r="W13" s="33"/>
      <c r="Y13" s="33"/>
      <c r="Z13" s="33"/>
      <c r="AA13" s="33"/>
      <c r="AB13" s="33"/>
      <c r="AC13" s="33"/>
      <c r="AF13" s="33"/>
      <c r="AG13" s="33"/>
      <c r="AH13" s="33"/>
    </row>
    <row r="14" spans="1:37" x14ac:dyDescent="0.4">
      <c r="A14" s="47"/>
      <c r="S14" s="33"/>
      <c r="T14" s="33"/>
      <c r="U14" s="33"/>
      <c r="V14" s="33"/>
      <c r="W14" s="33"/>
      <c r="Y14" s="33"/>
      <c r="Z14" s="33"/>
      <c r="AA14" s="33"/>
      <c r="AB14" s="33"/>
      <c r="AC14" s="33"/>
      <c r="AF14" s="33"/>
      <c r="AG14" s="33"/>
      <c r="AH14" s="33"/>
    </row>
    <row r="15" spans="1:37" x14ac:dyDescent="0.4">
      <c r="A15"/>
      <c r="AF15" s="33"/>
      <c r="AG15" s="33"/>
      <c r="AH15" s="33"/>
    </row>
    <row r="16" spans="1:37" x14ac:dyDescent="0.4">
      <c r="A16"/>
      <c r="F16" s="10"/>
      <c r="AF16" s="33"/>
      <c r="AG16" s="33"/>
      <c r="AH16" s="33"/>
    </row>
    <row r="17" spans="1:34" x14ac:dyDescent="0.4">
      <c r="A17"/>
      <c r="F17" s="11"/>
      <c r="AF17" s="33"/>
      <c r="AG17" s="33"/>
      <c r="AH17" s="33"/>
    </row>
    <row r="18" spans="1:34" x14ac:dyDescent="0.4">
      <c r="A18"/>
      <c r="AF18" s="33"/>
      <c r="AG18" s="33"/>
      <c r="AH18" s="33"/>
    </row>
    <row r="19" spans="1:34" x14ac:dyDescent="0.4">
      <c r="A19"/>
      <c r="AF19" s="33"/>
      <c r="AG19" s="33"/>
      <c r="AH19" s="33"/>
    </row>
    <row r="20" spans="1:34" x14ac:dyDescent="0.4">
      <c r="A20"/>
      <c r="AF20" s="33"/>
      <c r="AG20" s="33"/>
      <c r="AH20" s="33"/>
    </row>
    <row r="21" spans="1:34" x14ac:dyDescent="0.4">
      <c r="A21"/>
      <c r="AF21" s="33"/>
      <c r="AG21" s="33"/>
      <c r="AH21" s="33"/>
    </row>
    <row r="22" spans="1:34" x14ac:dyDescent="0.4">
      <c r="A22"/>
    </row>
    <row r="23" spans="1:34" x14ac:dyDescent="0.4">
      <c r="A23"/>
    </row>
    <row r="24" spans="1:34" x14ac:dyDescent="0.4">
      <c r="A24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9F2-9C24-4E27-A0C8-1466C49C6E0F}">
  <sheetPr>
    <tabColor theme="4"/>
  </sheetPr>
  <dimension ref="A1:AK24"/>
  <sheetViews>
    <sheetView zoomScaleNormal="100" workbookViewId="0">
      <pane xSplit="3" ySplit="3" topLeftCell="D4" activePane="bottomRight" state="frozen"/>
      <selection activeCell="AF12" sqref="AF12"/>
      <selection pane="topRight" activeCell="AF12" sqref="AF12"/>
      <selection pane="bottomLeft" activeCell="AF12" sqref="AF12"/>
      <selection pane="bottomRight" activeCell="B4" sqref="B4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s="1" customFormat="1" x14ac:dyDescent="0.4">
      <c r="A4" s="3" t="s">
        <v>82</v>
      </c>
      <c r="B4" s="1" t="s">
        <v>83</v>
      </c>
      <c r="C4" s="4">
        <v>-28</v>
      </c>
      <c r="D4" s="2"/>
      <c r="E4" s="5"/>
      <c r="F4" s="5"/>
      <c r="G4" s="5"/>
      <c r="H4" s="5"/>
      <c r="I4" s="16"/>
      <c r="J4" s="5"/>
      <c r="K4" s="5"/>
      <c r="L4" s="17"/>
      <c r="M4" s="6">
        <v>55</v>
      </c>
      <c r="N4" s="13"/>
      <c r="O4" s="4">
        <v>-28</v>
      </c>
      <c r="P4" s="13"/>
      <c r="Q4" s="5"/>
      <c r="R4" s="5"/>
      <c r="S4" s="5"/>
      <c r="T4" s="5"/>
      <c r="U4" s="5"/>
      <c r="V4" s="5"/>
      <c r="W4" s="5"/>
      <c r="X4" s="4">
        <v>9</v>
      </c>
      <c r="Y4" s="17"/>
      <c r="Z4" s="5"/>
      <c r="AA4" s="5"/>
      <c r="AB4" s="5"/>
      <c r="AC4" s="5"/>
      <c r="AD4" s="13"/>
      <c r="AE4" s="13" t="s">
        <v>37</v>
      </c>
      <c r="AF4" s="7">
        <v>13.4</v>
      </c>
      <c r="AG4" s="7">
        <v>5.08</v>
      </c>
      <c r="AH4" s="7">
        <f>AF4/AG4</f>
        <v>2.6377952755905514</v>
      </c>
    </row>
    <row r="5" spans="1:37" x14ac:dyDescent="0.4">
      <c r="A5" s="3"/>
      <c r="C5" s="13">
        <v>-20</v>
      </c>
      <c r="D5" s="2"/>
      <c r="E5" s="5"/>
      <c r="F5" s="5"/>
      <c r="G5" s="5">
        <v>16</v>
      </c>
      <c r="H5" s="5">
        <v>8.1999999999999993</v>
      </c>
      <c r="I5" s="16"/>
      <c r="J5" s="5"/>
      <c r="K5" s="5">
        <f>G5/H5</f>
        <v>1.9512195121951221</v>
      </c>
      <c r="L5" s="17"/>
      <c r="M5" s="6">
        <v>55</v>
      </c>
      <c r="N5" s="13"/>
      <c r="O5" s="13">
        <v>-20</v>
      </c>
      <c r="P5" s="13"/>
      <c r="Q5" s="5"/>
      <c r="R5" s="5"/>
      <c r="S5" s="5">
        <v>12</v>
      </c>
      <c r="T5" s="5">
        <v>9.3000000000000007</v>
      </c>
      <c r="U5" s="5"/>
      <c r="V5" s="5"/>
      <c r="W5" s="5">
        <f>S5/T5</f>
        <v>1.2903225806451613</v>
      </c>
      <c r="X5" s="19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7" x14ac:dyDescent="0.4">
      <c r="A6" s="3"/>
      <c r="C6" s="2">
        <v>-15</v>
      </c>
      <c r="D6" s="2"/>
      <c r="E6" s="5"/>
      <c r="F6" s="5"/>
      <c r="G6" s="5">
        <v>16</v>
      </c>
      <c r="H6" s="5">
        <v>6.91</v>
      </c>
      <c r="I6" s="16"/>
      <c r="J6" s="5"/>
      <c r="K6" s="5">
        <f>G6/H6</f>
        <v>2.3154848046309695</v>
      </c>
      <c r="L6" s="17"/>
      <c r="M6" s="6">
        <v>55</v>
      </c>
      <c r="N6" s="13"/>
      <c r="O6" s="13">
        <v>-15</v>
      </c>
      <c r="P6" s="13"/>
      <c r="Q6" s="5"/>
      <c r="R6" s="5"/>
      <c r="S6" s="5">
        <v>16</v>
      </c>
      <c r="T6" s="5">
        <v>9.9700000000000006</v>
      </c>
      <c r="U6" s="5"/>
      <c r="V6" s="5"/>
      <c r="W6" s="5">
        <f>S6/T6</f>
        <v>1.6048144433299898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15.5</v>
      </c>
      <c r="AG6" s="7">
        <v>5.3</v>
      </c>
      <c r="AH6" s="7">
        <v>3.83</v>
      </c>
    </row>
    <row r="7" spans="1:37" x14ac:dyDescent="0.4">
      <c r="A7" s="3"/>
      <c r="C7" s="2">
        <v>-10</v>
      </c>
      <c r="D7" s="2"/>
      <c r="E7" s="5"/>
      <c r="F7" s="5"/>
      <c r="G7" s="5"/>
      <c r="H7" s="5"/>
      <c r="I7" s="16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13</v>
      </c>
      <c r="AA7" s="5">
        <v>2.81</v>
      </c>
      <c r="AB7" s="5">
        <v>16</v>
      </c>
      <c r="AC7" s="5">
        <v>1.94</v>
      </c>
      <c r="AD7" s="13"/>
      <c r="AE7" s="13" t="s">
        <v>40</v>
      </c>
      <c r="AF7" s="7">
        <v>13.4</v>
      </c>
      <c r="AG7" s="7">
        <v>5.08</v>
      </c>
      <c r="AH7" s="7">
        <v>3.83</v>
      </c>
    </row>
    <row r="8" spans="1:37" x14ac:dyDescent="0.4">
      <c r="A8" s="3"/>
      <c r="C8" s="2">
        <v>-7</v>
      </c>
      <c r="D8" s="2"/>
      <c r="E8" s="5"/>
      <c r="F8" s="5"/>
      <c r="G8" s="5">
        <v>16</v>
      </c>
      <c r="H8" s="5">
        <v>6.7</v>
      </c>
      <c r="I8" s="16"/>
      <c r="J8" s="5"/>
      <c r="K8" s="5">
        <f>G8/H8</f>
        <v>2.3880597014925371</v>
      </c>
      <c r="L8" s="17"/>
      <c r="M8" s="6">
        <v>60</v>
      </c>
      <c r="N8" s="13"/>
      <c r="O8" s="13">
        <v>-7</v>
      </c>
      <c r="P8" s="13"/>
      <c r="Q8" s="5"/>
      <c r="R8" s="5"/>
      <c r="S8" s="5">
        <v>16</v>
      </c>
      <c r="T8" s="5">
        <v>9.33</v>
      </c>
      <c r="U8" s="5"/>
      <c r="V8" s="5"/>
      <c r="W8" s="5">
        <f>S8/T8</f>
        <v>1.714898177920686</v>
      </c>
      <c r="X8" s="19"/>
      <c r="Y8" s="5">
        <f>AA8*(1.029-(0.05*Z8/G10))</f>
        <v>2.869950625</v>
      </c>
      <c r="Z8" s="5">
        <v>11.5</v>
      </c>
      <c r="AA8" s="5">
        <v>2.89</v>
      </c>
      <c r="AB8" s="5">
        <v>14.1</v>
      </c>
      <c r="AC8" s="5">
        <v>2.02</v>
      </c>
      <c r="AD8" s="13"/>
      <c r="AE8" s="13"/>
      <c r="AF8" s="34"/>
      <c r="AG8" s="34"/>
      <c r="AH8" s="33"/>
      <c r="AK8" s="23"/>
    </row>
    <row r="9" spans="1:37" x14ac:dyDescent="0.4">
      <c r="A9" s="3"/>
      <c r="C9" s="2">
        <v>2</v>
      </c>
      <c r="D9" s="2"/>
      <c r="E9" s="5"/>
      <c r="F9" s="5"/>
      <c r="G9" s="5">
        <v>16</v>
      </c>
      <c r="H9" s="5">
        <v>5.16</v>
      </c>
      <c r="I9" s="16"/>
      <c r="J9" s="5"/>
      <c r="K9" s="5">
        <f>G9/H9</f>
        <v>3.1007751937984493</v>
      </c>
      <c r="L9" s="17"/>
      <c r="M9" s="6">
        <v>60</v>
      </c>
      <c r="N9" s="13"/>
      <c r="O9" s="13">
        <v>2</v>
      </c>
      <c r="P9" s="13"/>
      <c r="Q9" s="5"/>
      <c r="R9" s="5"/>
      <c r="S9" s="5">
        <v>16</v>
      </c>
      <c r="T9" s="5">
        <v>7.72</v>
      </c>
      <c r="U9" s="5"/>
      <c r="V9" s="5"/>
      <c r="W9" s="5">
        <f>S9/T9</f>
        <v>2.0725388601036272</v>
      </c>
      <c r="X9" s="19"/>
      <c r="Y9" s="5">
        <f>AA9*(0.906-(0.044*Z9/G10))</f>
        <v>3.8041575000000001</v>
      </c>
      <c r="Z9" s="5">
        <v>7</v>
      </c>
      <c r="AA9" s="5">
        <v>4.29</v>
      </c>
      <c r="AB9" s="5">
        <v>8.6</v>
      </c>
      <c r="AC9" s="5">
        <v>3.15</v>
      </c>
      <c r="AD9" s="13"/>
      <c r="AE9" s="13"/>
      <c r="AF9" s="34"/>
      <c r="AG9" s="34"/>
      <c r="AH9" s="33"/>
      <c r="AK9" s="23"/>
    </row>
    <row r="10" spans="1:37" x14ac:dyDescent="0.4">
      <c r="A10" s="3"/>
      <c r="C10" s="2">
        <v>7</v>
      </c>
      <c r="D10" s="2"/>
      <c r="E10" s="5"/>
      <c r="F10" s="5"/>
      <c r="G10" s="5">
        <v>16</v>
      </c>
      <c r="H10" s="5">
        <v>3.65</v>
      </c>
      <c r="I10" s="16"/>
      <c r="J10" s="5"/>
      <c r="K10" s="5">
        <f>G10/H10</f>
        <v>4.3835616438356162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16</v>
      </c>
      <c r="T10" s="5">
        <v>5.88</v>
      </c>
      <c r="U10" s="5"/>
      <c r="V10" s="5"/>
      <c r="W10" s="5">
        <f>S10/T10</f>
        <v>2.7210884353741496</v>
      </c>
      <c r="X10" s="19"/>
      <c r="Y10" s="5">
        <f>K10</f>
        <v>4.3835616438356162</v>
      </c>
      <c r="Z10" s="5">
        <v>8.1</v>
      </c>
      <c r="AA10" s="5">
        <v>5.8</v>
      </c>
      <c r="AB10" s="5">
        <v>8</v>
      </c>
      <c r="AC10" s="5">
        <v>4.5</v>
      </c>
      <c r="AD10" s="13"/>
      <c r="AE10" s="13"/>
      <c r="AF10" s="34"/>
      <c r="AG10" s="34"/>
      <c r="AH10" s="33"/>
      <c r="AK10" s="23"/>
    </row>
    <row r="11" spans="1:37" x14ac:dyDescent="0.4">
      <c r="A11" s="3"/>
      <c r="C11" s="2">
        <v>12</v>
      </c>
      <c r="D11" s="2"/>
      <c r="E11" s="5"/>
      <c r="F11" s="5"/>
      <c r="G11" s="5"/>
      <c r="H11" s="5"/>
      <c r="I11" s="16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9</v>
      </c>
      <c r="AA11" s="5">
        <v>7.13</v>
      </c>
      <c r="AB11" s="5">
        <v>9</v>
      </c>
      <c r="AC11" s="5">
        <v>5.72</v>
      </c>
      <c r="AD11" s="13"/>
      <c r="AE11" s="13"/>
      <c r="AF11" s="34"/>
      <c r="AG11" s="34"/>
      <c r="AH11" s="33"/>
    </row>
    <row r="12" spans="1:37" x14ac:dyDescent="0.4">
      <c r="A12" s="8"/>
      <c r="B12" s="8"/>
      <c r="C12" s="9"/>
      <c r="D12" s="9"/>
      <c r="E12" s="18"/>
      <c r="F12" s="18"/>
      <c r="G12" s="30"/>
      <c r="H12" s="30"/>
      <c r="I12" s="30"/>
      <c r="J12" s="30"/>
      <c r="K12" s="30"/>
      <c r="L12" s="18"/>
      <c r="M12" s="30"/>
      <c r="N12" s="14"/>
      <c r="O12" s="14"/>
      <c r="P12" s="14"/>
      <c r="Q12" s="18"/>
      <c r="R12" s="18"/>
      <c r="S12" s="30"/>
      <c r="T12" s="30"/>
      <c r="U12" s="30"/>
      <c r="V12" s="30"/>
      <c r="W12" s="30"/>
      <c r="X12" s="18"/>
      <c r="Y12" s="31"/>
      <c r="Z12" s="31"/>
      <c r="AA12" s="31"/>
      <c r="AB12" s="31"/>
      <c r="AC12" s="31"/>
      <c r="AD12" s="14"/>
      <c r="AE12" s="14"/>
      <c r="AF12" s="30"/>
      <c r="AG12" s="30"/>
      <c r="AH12" s="30"/>
    </row>
    <row r="13" spans="1:37" x14ac:dyDescent="0.4">
      <c r="S13" s="33"/>
      <c r="T13" s="33"/>
      <c r="U13" s="33"/>
      <c r="V13" s="33"/>
      <c r="W13" s="33"/>
      <c r="Y13" s="33"/>
      <c r="Z13" s="33"/>
      <c r="AA13" s="33"/>
      <c r="AB13" s="33"/>
      <c r="AC13" s="33"/>
      <c r="AF13" s="33"/>
      <c r="AG13" s="33"/>
      <c r="AH13" s="33"/>
    </row>
    <row r="14" spans="1:37" x14ac:dyDescent="0.4">
      <c r="S14" s="33"/>
      <c r="T14" s="33"/>
      <c r="U14" s="33"/>
      <c r="V14" s="33"/>
      <c r="W14" s="33"/>
      <c r="Y14" s="33"/>
      <c r="Z14" s="33"/>
      <c r="AA14" s="33"/>
      <c r="AB14" s="33"/>
      <c r="AC14" s="33"/>
      <c r="AF14" s="33"/>
      <c r="AG14" s="33"/>
      <c r="AH14" s="33"/>
    </row>
    <row r="15" spans="1:37" x14ac:dyDescent="0.4">
      <c r="A15" s="2"/>
      <c r="AF15" s="33"/>
      <c r="AG15" s="33"/>
      <c r="AH15" s="33"/>
    </row>
    <row r="16" spans="1:37" x14ac:dyDescent="0.4">
      <c r="A16"/>
      <c r="F16" s="10"/>
      <c r="AF16" s="33"/>
      <c r="AG16" s="33"/>
      <c r="AH16" s="33"/>
    </row>
    <row r="17" spans="1:34" x14ac:dyDescent="0.4">
      <c r="A17"/>
      <c r="F17" s="11"/>
      <c r="AF17" s="33"/>
      <c r="AG17" s="33"/>
      <c r="AH17" s="33"/>
    </row>
    <row r="18" spans="1:34" x14ac:dyDescent="0.4">
      <c r="A18"/>
      <c r="AF18" s="33"/>
      <c r="AG18" s="33"/>
      <c r="AH18" s="33"/>
    </row>
    <row r="19" spans="1:34" x14ac:dyDescent="0.4">
      <c r="AF19" s="33"/>
      <c r="AG19" s="33"/>
      <c r="AH19" s="33"/>
    </row>
    <row r="20" spans="1:34" x14ac:dyDescent="0.4">
      <c r="A20"/>
      <c r="AF20" s="33"/>
      <c r="AG20" s="33"/>
      <c r="AH20" s="33"/>
    </row>
    <row r="21" spans="1:34" x14ac:dyDescent="0.4">
      <c r="A21"/>
      <c r="AF21" s="33"/>
      <c r="AG21" s="33"/>
      <c r="AH21" s="33"/>
    </row>
    <row r="22" spans="1:34" x14ac:dyDescent="0.4">
      <c r="A22"/>
    </row>
    <row r="23" spans="1:34" x14ac:dyDescent="0.4">
      <c r="A23"/>
    </row>
    <row r="24" spans="1:34" x14ac:dyDescent="0.4">
      <c r="A24"/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FA08-BB0A-4F17-88A8-4D21C322D83F}">
  <sheetPr>
    <tabColor theme="7"/>
  </sheetPr>
  <dimension ref="A1:AL81"/>
  <sheetViews>
    <sheetView zoomScale="70" zoomScaleNormal="70" workbookViewId="0">
      <pane xSplit="3" ySplit="3" topLeftCell="D31" activePane="bottomRight" state="frozen"/>
      <selection pane="topRight" activeCell="D1" sqref="D1"/>
      <selection pane="bottomLeft" activeCell="A4" sqref="A4"/>
      <selection pane="bottomRight" activeCell="AK20" sqref="AK20"/>
    </sheetView>
  </sheetViews>
  <sheetFormatPr baseColWidth="10" defaultColWidth="11.4609375" defaultRowHeight="14.6" x14ac:dyDescent="0.4"/>
  <cols>
    <col min="1" max="1" width="19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14.53515625" customWidth="1"/>
    <col min="26" max="26" width="9.53515625" bestFit="1" customWidth="1"/>
    <col min="27" max="27" width="7.53515625" customWidth="1"/>
    <col min="28" max="28" width="9.53515625" customWidth="1"/>
    <col min="29" max="29" width="8.0742187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8" x14ac:dyDescent="0.4">
      <c r="C1" s="1" t="s">
        <v>17</v>
      </c>
    </row>
    <row r="2" spans="1:38" x14ac:dyDescent="0.4">
      <c r="C2" s="1" t="s">
        <v>18</v>
      </c>
      <c r="O2" s="1" t="s">
        <v>19</v>
      </c>
      <c r="AF2" s="1"/>
    </row>
    <row r="3" spans="1:38" s="1" customFormat="1" ht="43.75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8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8" x14ac:dyDescent="0.4">
      <c r="A5" s="3" t="s">
        <v>62</v>
      </c>
      <c r="B5" s="1" t="s">
        <v>65</v>
      </c>
      <c r="C5" s="45">
        <v>-20</v>
      </c>
      <c r="D5" s="2"/>
      <c r="E5" s="35"/>
      <c r="F5" s="5"/>
      <c r="G5" s="5">
        <v>2.52</v>
      </c>
      <c r="H5" s="5">
        <v>1.31</v>
      </c>
      <c r="I5" s="5"/>
      <c r="J5" s="5"/>
      <c r="K5" s="5">
        <v>1.92</v>
      </c>
      <c r="L5" s="17"/>
      <c r="M5" s="6">
        <v>55</v>
      </c>
      <c r="N5" s="13"/>
      <c r="O5" s="45">
        <v>-20</v>
      </c>
      <c r="P5" s="13"/>
      <c r="Q5" s="5"/>
      <c r="R5" s="5"/>
      <c r="S5" s="5">
        <v>2.12</v>
      </c>
      <c r="T5" s="5">
        <v>1.8</v>
      </c>
      <c r="U5" s="5"/>
      <c r="V5" s="5"/>
      <c r="W5" s="5">
        <v>1.18</v>
      </c>
      <c r="X5" s="4">
        <v>3</v>
      </c>
      <c r="Y5" s="40"/>
      <c r="Z5" s="5"/>
      <c r="AA5" s="5"/>
      <c r="AB5" s="5"/>
      <c r="AC5" s="5"/>
      <c r="AD5" s="13"/>
      <c r="AE5" s="13" t="s">
        <v>37</v>
      </c>
      <c r="AF5" s="7">
        <v>3.2</v>
      </c>
      <c r="AG5" s="7">
        <v>0.91</v>
      </c>
      <c r="AH5" s="7">
        <f>AF5/AG5</f>
        <v>3.5164835164835164</v>
      </c>
    </row>
    <row r="6" spans="1:38" x14ac:dyDescent="0.4">
      <c r="A6" s="46"/>
      <c r="C6" s="2">
        <v>-15</v>
      </c>
      <c r="D6" s="2"/>
      <c r="E6" s="35"/>
      <c r="F6" s="5"/>
      <c r="G6" s="5">
        <v>3.2</v>
      </c>
      <c r="H6" s="5">
        <v>1.37</v>
      </c>
      <c r="I6" s="5"/>
      <c r="J6" s="5"/>
      <c r="K6" s="5">
        <v>2.34</v>
      </c>
      <c r="L6" s="17"/>
      <c r="M6" s="6">
        <v>55</v>
      </c>
      <c r="N6" s="13"/>
      <c r="O6" s="13">
        <v>-15</v>
      </c>
      <c r="P6" s="13"/>
      <c r="Q6" s="5"/>
      <c r="R6" s="5"/>
      <c r="S6" s="5">
        <v>2.75</v>
      </c>
      <c r="T6" s="5">
        <v>1.92</v>
      </c>
      <c r="U6" s="5"/>
      <c r="V6" s="5"/>
      <c r="W6" s="5">
        <v>1.43</v>
      </c>
      <c r="X6" s="13"/>
      <c r="Y6" s="40"/>
      <c r="Z6" s="5"/>
      <c r="AA6" s="5"/>
      <c r="AB6" s="5"/>
      <c r="AC6" s="5"/>
      <c r="AD6" s="13"/>
      <c r="AE6" s="13"/>
      <c r="AF6" s="43"/>
      <c r="AG6" s="43"/>
      <c r="AH6" s="43"/>
    </row>
    <row r="7" spans="1:38" x14ac:dyDescent="0.4">
      <c r="A7" s="3"/>
      <c r="C7" s="2">
        <v>-10</v>
      </c>
      <c r="D7" s="2"/>
      <c r="E7" s="35"/>
      <c r="F7" s="5"/>
      <c r="G7" s="29"/>
      <c r="H7" s="29"/>
      <c r="I7" s="5"/>
      <c r="J7" s="5"/>
      <c r="K7" s="29"/>
      <c r="L7" s="17"/>
      <c r="M7" s="6">
        <v>60</v>
      </c>
      <c r="N7" s="13"/>
      <c r="O7" s="13">
        <v>-10</v>
      </c>
      <c r="P7" s="13"/>
      <c r="Q7" s="5"/>
      <c r="R7" s="5"/>
      <c r="S7" s="29"/>
      <c r="T7" s="29"/>
      <c r="U7" s="5"/>
      <c r="V7" s="5"/>
      <c r="W7" s="29"/>
      <c r="X7" s="13"/>
      <c r="Y7" s="40" t="s">
        <v>39</v>
      </c>
      <c r="Z7" s="5">
        <v>4</v>
      </c>
      <c r="AA7" s="5">
        <v>2.6</v>
      </c>
      <c r="AB7" s="5">
        <v>2.9</v>
      </c>
      <c r="AC7" s="5">
        <v>1.66</v>
      </c>
      <c r="AD7" s="13"/>
      <c r="AE7" s="13" t="s">
        <v>38</v>
      </c>
      <c r="AF7" s="7">
        <v>3.56</v>
      </c>
      <c r="AG7" s="7">
        <v>0.93</v>
      </c>
      <c r="AH7" s="7">
        <v>3.83</v>
      </c>
    </row>
    <row r="8" spans="1:38" x14ac:dyDescent="0.4">
      <c r="A8" s="3"/>
      <c r="C8" s="2">
        <v>-7</v>
      </c>
      <c r="D8" s="2"/>
      <c r="E8" s="35"/>
      <c r="F8" s="5"/>
      <c r="G8" s="5">
        <v>3.3</v>
      </c>
      <c r="H8" s="5">
        <v>1.18</v>
      </c>
      <c r="I8" s="5"/>
      <c r="J8" s="5"/>
      <c r="K8" s="5">
        <v>2.8</v>
      </c>
      <c r="L8" s="17"/>
      <c r="M8" s="6">
        <v>60</v>
      </c>
      <c r="N8" s="13"/>
      <c r="O8" s="13">
        <v>-7</v>
      </c>
      <c r="P8" s="13"/>
      <c r="Q8" s="5"/>
      <c r="R8" s="5"/>
      <c r="S8" s="5">
        <v>3.2</v>
      </c>
      <c r="T8" s="5">
        <v>1.79</v>
      </c>
      <c r="U8" s="5"/>
      <c r="V8" s="5"/>
      <c r="W8" s="5">
        <v>1.79</v>
      </c>
      <c r="X8" s="13"/>
      <c r="Y8" s="41">
        <f>AA8*(1.029-(0.05*Z8/G10))</f>
        <v>2.7280749999999996</v>
      </c>
      <c r="Z8" s="5">
        <v>3.5</v>
      </c>
      <c r="AA8" s="5">
        <v>2.8</v>
      </c>
      <c r="AB8" s="5">
        <v>2.6</v>
      </c>
      <c r="AC8" s="5">
        <v>2.1800000000000002</v>
      </c>
      <c r="AD8" s="13"/>
      <c r="AE8" s="13" t="s">
        <v>40</v>
      </c>
      <c r="AF8" s="7">
        <v>3.2</v>
      </c>
      <c r="AG8" s="7">
        <v>0.68</v>
      </c>
      <c r="AH8" s="7">
        <v>4.71</v>
      </c>
    </row>
    <row r="9" spans="1:38" x14ac:dyDescent="0.4">
      <c r="A9" s="3"/>
      <c r="C9" s="2">
        <v>2</v>
      </c>
      <c r="D9" s="2"/>
      <c r="E9" s="35"/>
      <c r="F9" s="5"/>
      <c r="G9" s="5">
        <v>3.2</v>
      </c>
      <c r="H9" s="5">
        <v>0.88</v>
      </c>
      <c r="I9" s="5"/>
      <c r="J9" s="5"/>
      <c r="K9" s="5">
        <v>3.64</v>
      </c>
      <c r="L9" s="17"/>
      <c r="M9" s="6">
        <v>60</v>
      </c>
      <c r="N9" s="13"/>
      <c r="O9" s="13">
        <v>2</v>
      </c>
      <c r="P9" s="13"/>
      <c r="Q9" s="5"/>
      <c r="R9" s="5"/>
      <c r="S9" s="5">
        <v>3.2</v>
      </c>
      <c r="T9" s="5">
        <v>1.46</v>
      </c>
      <c r="U9" s="5"/>
      <c r="V9" s="5"/>
      <c r="W9" s="5">
        <v>2.19</v>
      </c>
      <c r="X9" s="13"/>
      <c r="Y9" s="41">
        <f>AA9*(0.906-(0.044*Z9/G10))</f>
        <v>4.5154899999999998</v>
      </c>
      <c r="Z9" s="5">
        <v>2</v>
      </c>
      <c r="AA9" s="5">
        <v>5.14</v>
      </c>
      <c r="AB9" s="5">
        <v>1.6</v>
      </c>
      <c r="AC9" s="5">
        <v>3.42</v>
      </c>
      <c r="AD9" s="13"/>
      <c r="AE9" s="13"/>
      <c r="AF9" s="13"/>
      <c r="AG9" s="13"/>
      <c r="AH9" s="15"/>
      <c r="AK9" s="23"/>
      <c r="AL9" s="23"/>
    </row>
    <row r="10" spans="1:38" x14ac:dyDescent="0.4">
      <c r="A10" s="3"/>
      <c r="C10" s="2">
        <v>7</v>
      </c>
      <c r="D10" s="2"/>
      <c r="E10" s="35"/>
      <c r="F10" s="5"/>
      <c r="G10" s="5">
        <v>3.2</v>
      </c>
      <c r="H10" s="5">
        <v>0.6</v>
      </c>
      <c r="I10" s="5"/>
      <c r="J10" s="5"/>
      <c r="K10" s="5">
        <v>5.33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3.2</v>
      </c>
      <c r="T10" s="5">
        <v>1.1399999999999999</v>
      </c>
      <c r="U10" s="5"/>
      <c r="V10" s="5"/>
      <c r="W10" s="5">
        <v>2.81</v>
      </c>
      <c r="X10" s="13"/>
      <c r="Y10" s="41">
        <f>K10</f>
        <v>5.33</v>
      </c>
      <c r="Z10" s="5">
        <v>1.4</v>
      </c>
      <c r="AA10" s="5">
        <v>6.8</v>
      </c>
      <c r="AB10" s="5">
        <v>1.1000000000000001</v>
      </c>
      <c r="AC10" s="5">
        <v>4.43</v>
      </c>
      <c r="AD10" s="13"/>
      <c r="AE10" s="13"/>
      <c r="AF10" s="13"/>
      <c r="AG10" s="13"/>
      <c r="AH10" s="15"/>
    </row>
    <row r="11" spans="1:38" x14ac:dyDescent="0.4">
      <c r="A11" s="3"/>
      <c r="C11" s="2">
        <v>12</v>
      </c>
      <c r="D11" s="2"/>
      <c r="E11" s="35"/>
      <c r="F11" s="5"/>
      <c r="G11" s="29"/>
      <c r="H11" s="29"/>
      <c r="I11" s="5"/>
      <c r="J11" s="5"/>
      <c r="K11" s="29"/>
      <c r="L11" s="17"/>
      <c r="M11" s="6">
        <v>60</v>
      </c>
      <c r="N11" s="13"/>
      <c r="O11" s="13">
        <v>12</v>
      </c>
      <c r="P11" s="13"/>
      <c r="Q11" s="5"/>
      <c r="R11" s="5"/>
      <c r="S11" s="26"/>
      <c r="T11" s="26"/>
      <c r="U11" s="24"/>
      <c r="V11" s="24"/>
      <c r="W11" s="26"/>
      <c r="X11" s="13"/>
      <c r="Y11" s="40"/>
      <c r="Z11" s="5">
        <v>1.6</v>
      </c>
      <c r="AA11" s="5">
        <v>9.5</v>
      </c>
      <c r="AB11" s="5">
        <v>1.4</v>
      </c>
      <c r="AC11" s="5">
        <v>6.97</v>
      </c>
      <c r="AD11" s="13"/>
      <c r="AE11" s="13"/>
      <c r="AF11" s="13"/>
      <c r="AG11" s="13"/>
      <c r="AH11" s="15"/>
    </row>
    <row r="12" spans="1:38" x14ac:dyDescent="0.4">
      <c r="A12" s="8"/>
      <c r="B12" s="8"/>
      <c r="C12" s="9"/>
      <c r="D12" s="9"/>
      <c r="E12" s="18"/>
      <c r="F12" s="18"/>
      <c r="G12" s="31"/>
      <c r="H12" s="31"/>
      <c r="I12" s="31"/>
      <c r="J12" s="31"/>
      <c r="K12" s="31"/>
      <c r="L12" s="18"/>
      <c r="M12" s="18"/>
      <c r="N12" s="14"/>
      <c r="O12" s="14"/>
      <c r="P12" s="14"/>
      <c r="Q12" s="18"/>
      <c r="R12" s="22"/>
      <c r="S12" s="31"/>
      <c r="T12" s="31"/>
      <c r="U12" s="31"/>
      <c r="V12" s="31"/>
      <c r="W12" s="31"/>
      <c r="X12" s="14"/>
      <c r="Y12" s="42"/>
      <c r="Z12" s="22"/>
      <c r="AA12" s="22"/>
      <c r="AB12" s="22"/>
      <c r="AC12" s="22"/>
      <c r="AD12" s="14"/>
      <c r="AE12" s="14"/>
      <c r="AF12" s="14"/>
      <c r="AG12" s="14"/>
      <c r="AH12" s="14"/>
    </row>
    <row r="13" spans="1:38" x14ac:dyDescent="0.4">
      <c r="A13" s="3" t="s">
        <v>69</v>
      </c>
      <c r="B13" s="1" t="s">
        <v>65</v>
      </c>
      <c r="C13" s="45">
        <v>-20</v>
      </c>
      <c r="D13" s="2"/>
      <c r="E13" s="35"/>
      <c r="F13" s="5"/>
      <c r="G13" s="5">
        <v>2.52</v>
      </c>
      <c r="H13" s="5">
        <v>1.31</v>
      </c>
      <c r="I13" s="5"/>
      <c r="J13" s="5"/>
      <c r="K13" s="5">
        <v>1.92</v>
      </c>
      <c r="L13" s="17"/>
      <c r="M13" s="6">
        <v>55</v>
      </c>
      <c r="N13" s="13"/>
      <c r="O13" s="45">
        <v>-20</v>
      </c>
      <c r="P13" s="13"/>
      <c r="Q13" s="5"/>
      <c r="R13" s="5"/>
      <c r="S13" s="5">
        <v>2.12</v>
      </c>
      <c r="T13" s="5">
        <v>1.8</v>
      </c>
      <c r="U13" s="5"/>
      <c r="V13" s="5"/>
      <c r="W13" s="5">
        <v>1.18</v>
      </c>
      <c r="X13" s="4">
        <v>3</v>
      </c>
      <c r="Y13" s="40"/>
      <c r="Z13" s="5"/>
      <c r="AA13" s="5"/>
      <c r="AB13" s="5"/>
      <c r="AC13" s="5"/>
      <c r="AD13" s="13"/>
      <c r="AE13" s="13" t="s">
        <v>37</v>
      </c>
      <c r="AF13" s="7">
        <v>3.2</v>
      </c>
      <c r="AG13" s="7">
        <v>0.91</v>
      </c>
      <c r="AH13" s="7">
        <f>AF13/AG13</f>
        <v>3.5164835164835164</v>
      </c>
    </row>
    <row r="14" spans="1:38" x14ac:dyDescent="0.4">
      <c r="A14" s="46"/>
      <c r="C14" s="2">
        <v>-15</v>
      </c>
      <c r="D14" s="2"/>
      <c r="E14" s="35"/>
      <c r="F14" s="5"/>
      <c r="G14" s="5">
        <v>3.2</v>
      </c>
      <c r="H14" s="5">
        <v>1.37</v>
      </c>
      <c r="I14" s="5"/>
      <c r="J14" s="5"/>
      <c r="K14" s="5">
        <v>2.34</v>
      </c>
      <c r="L14" s="17"/>
      <c r="M14" s="6">
        <v>55</v>
      </c>
      <c r="N14" s="13"/>
      <c r="O14" s="13">
        <v>-15</v>
      </c>
      <c r="P14" s="13"/>
      <c r="Q14" s="5"/>
      <c r="R14" s="5"/>
      <c r="S14" s="5">
        <v>2.75</v>
      </c>
      <c r="T14" s="5">
        <v>1.92</v>
      </c>
      <c r="U14" s="5"/>
      <c r="V14" s="5"/>
      <c r="W14" s="5">
        <v>1.43</v>
      </c>
      <c r="X14" s="13"/>
      <c r="Y14" s="40"/>
      <c r="Z14" s="5"/>
      <c r="AA14" s="5"/>
      <c r="AB14" s="5"/>
      <c r="AC14" s="5"/>
      <c r="AD14" s="13"/>
      <c r="AE14" s="13"/>
      <c r="AF14" s="43"/>
      <c r="AG14" s="43"/>
      <c r="AH14" s="43"/>
    </row>
    <row r="15" spans="1:38" x14ac:dyDescent="0.4">
      <c r="A15" s="3"/>
      <c r="C15" s="2">
        <v>-10</v>
      </c>
      <c r="D15" s="2"/>
      <c r="E15" s="35"/>
      <c r="F15" s="5"/>
      <c r="G15" s="29"/>
      <c r="H15" s="29"/>
      <c r="I15" s="5"/>
      <c r="J15" s="5"/>
      <c r="K15" s="29"/>
      <c r="L15" s="17"/>
      <c r="M15" s="6">
        <v>60</v>
      </c>
      <c r="N15" s="13"/>
      <c r="O15" s="13">
        <v>-10</v>
      </c>
      <c r="P15" s="13"/>
      <c r="Q15" s="5"/>
      <c r="R15" s="5"/>
      <c r="S15" s="29"/>
      <c r="T15" s="29"/>
      <c r="U15" s="5"/>
      <c r="V15" s="5"/>
      <c r="W15" s="29"/>
      <c r="X15" s="13"/>
      <c r="Y15" s="40" t="s">
        <v>39</v>
      </c>
      <c r="Z15" s="5">
        <v>4</v>
      </c>
      <c r="AA15" s="5">
        <v>2.6</v>
      </c>
      <c r="AB15" s="5">
        <v>2.9</v>
      </c>
      <c r="AC15" s="5">
        <v>1.66</v>
      </c>
      <c r="AD15" s="13"/>
      <c r="AE15" s="13" t="s">
        <v>38</v>
      </c>
      <c r="AF15" s="7">
        <v>3.56</v>
      </c>
      <c r="AG15" s="7">
        <v>0.93</v>
      </c>
      <c r="AH15" s="7">
        <v>3.83</v>
      </c>
    </row>
    <row r="16" spans="1:38" x14ac:dyDescent="0.4">
      <c r="A16" s="3"/>
      <c r="C16" s="2">
        <v>-7</v>
      </c>
      <c r="D16" s="2"/>
      <c r="E16" s="35"/>
      <c r="F16" s="5"/>
      <c r="G16" s="5">
        <v>3.3</v>
      </c>
      <c r="H16" s="5">
        <v>1.18</v>
      </c>
      <c r="I16" s="5"/>
      <c r="J16" s="5"/>
      <c r="K16" s="5">
        <v>2.8</v>
      </c>
      <c r="L16" s="17"/>
      <c r="M16" s="6">
        <v>60</v>
      </c>
      <c r="N16" s="13"/>
      <c r="O16" s="13">
        <v>-7</v>
      </c>
      <c r="P16" s="13"/>
      <c r="Q16" s="5"/>
      <c r="R16" s="5"/>
      <c r="S16" s="5">
        <v>3.2</v>
      </c>
      <c r="T16" s="5">
        <v>1.79</v>
      </c>
      <c r="U16" s="5"/>
      <c r="V16" s="5"/>
      <c r="W16" s="5">
        <v>1.79</v>
      </c>
      <c r="X16" s="13"/>
      <c r="Y16" s="41">
        <f>AA16*(1.029-(0.05*Z16/G18))</f>
        <v>2.7280749999999996</v>
      </c>
      <c r="Z16" s="5">
        <v>3.5</v>
      </c>
      <c r="AA16" s="5">
        <v>2.8</v>
      </c>
      <c r="AB16" s="5">
        <v>2.6</v>
      </c>
      <c r="AC16" s="5">
        <v>2.1800000000000002</v>
      </c>
      <c r="AD16" s="13"/>
      <c r="AE16" s="13" t="s">
        <v>40</v>
      </c>
      <c r="AF16" s="7">
        <v>3.2</v>
      </c>
      <c r="AG16" s="7">
        <v>0.68</v>
      </c>
      <c r="AH16" s="7">
        <v>4.71</v>
      </c>
    </row>
    <row r="17" spans="1:38" x14ac:dyDescent="0.4">
      <c r="A17" s="3"/>
      <c r="C17" s="2">
        <v>2</v>
      </c>
      <c r="D17" s="2"/>
      <c r="E17" s="35"/>
      <c r="F17" s="5"/>
      <c r="G17" s="5">
        <v>3.2</v>
      </c>
      <c r="H17" s="5">
        <v>0.88</v>
      </c>
      <c r="I17" s="5"/>
      <c r="J17" s="5"/>
      <c r="K17" s="5">
        <v>3.64</v>
      </c>
      <c r="L17" s="17"/>
      <c r="M17" s="6">
        <v>60</v>
      </c>
      <c r="N17" s="13"/>
      <c r="O17" s="13">
        <v>2</v>
      </c>
      <c r="P17" s="13"/>
      <c r="Q17" s="5"/>
      <c r="R17" s="5"/>
      <c r="S17" s="5">
        <v>3.2</v>
      </c>
      <c r="T17" s="5">
        <v>1.46</v>
      </c>
      <c r="U17" s="5"/>
      <c r="V17" s="5"/>
      <c r="W17" s="5">
        <v>2.19</v>
      </c>
      <c r="X17" s="13"/>
      <c r="Y17" s="41">
        <f>AA17*(0.906-(0.044*Z17/G18))</f>
        <v>4.5154899999999998</v>
      </c>
      <c r="Z17" s="5">
        <v>2</v>
      </c>
      <c r="AA17" s="5">
        <v>5.14</v>
      </c>
      <c r="AB17" s="5">
        <v>1.6</v>
      </c>
      <c r="AC17" s="5">
        <v>3.42</v>
      </c>
      <c r="AD17" s="13"/>
      <c r="AE17" s="13"/>
      <c r="AF17" s="13"/>
      <c r="AG17" s="13"/>
      <c r="AH17" s="15"/>
      <c r="AK17" s="23"/>
      <c r="AL17" s="23"/>
    </row>
    <row r="18" spans="1:38" x14ac:dyDescent="0.4">
      <c r="A18" s="3"/>
      <c r="C18" s="2">
        <v>7</v>
      </c>
      <c r="D18" s="2"/>
      <c r="E18" s="35"/>
      <c r="F18" s="5"/>
      <c r="G18" s="5">
        <v>3.2</v>
      </c>
      <c r="H18" s="5">
        <v>0.6</v>
      </c>
      <c r="I18" s="5"/>
      <c r="J18" s="5"/>
      <c r="K18" s="5">
        <v>5.33</v>
      </c>
      <c r="L18" s="17"/>
      <c r="M18" s="6">
        <v>60</v>
      </c>
      <c r="N18" s="13"/>
      <c r="O18" s="13">
        <v>7</v>
      </c>
      <c r="P18" s="13"/>
      <c r="Q18" s="5"/>
      <c r="R18" s="5"/>
      <c r="S18" s="5">
        <v>3.2</v>
      </c>
      <c r="T18" s="5">
        <v>1.1399999999999999</v>
      </c>
      <c r="U18" s="5"/>
      <c r="V18" s="5"/>
      <c r="W18" s="5">
        <v>2.81</v>
      </c>
      <c r="X18" s="13"/>
      <c r="Y18" s="41">
        <f>K18</f>
        <v>5.33</v>
      </c>
      <c r="Z18" s="5">
        <v>1.4</v>
      </c>
      <c r="AA18" s="5">
        <v>6.8</v>
      </c>
      <c r="AB18" s="5">
        <v>1.1000000000000001</v>
      </c>
      <c r="AC18" s="5">
        <v>4.43</v>
      </c>
      <c r="AD18" s="13"/>
      <c r="AE18" s="13"/>
      <c r="AF18" s="13"/>
      <c r="AG18" s="13"/>
      <c r="AH18" s="15"/>
    </row>
    <row r="19" spans="1:38" x14ac:dyDescent="0.4">
      <c r="A19" s="3"/>
      <c r="C19" s="2">
        <v>12</v>
      </c>
      <c r="D19" s="2"/>
      <c r="E19" s="35"/>
      <c r="F19" s="5"/>
      <c r="G19" s="29"/>
      <c r="H19" s="29"/>
      <c r="I19" s="5"/>
      <c r="J19" s="5"/>
      <c r="K19" s="29"/>
      <c r="L19" s="17"/>
      <c r="M19" s="6">
        <v>60</v>
      </c>
      <c r="N19" s="13"/>
      <c r="O19" s="13">
        <v>12</v>
      </c>
      <c r="P19" s="13"/>
      <c r="Q19" s="5"/>
      <c r="R19" s="5"/>
      <c r="S19" s="26"/>
      <c r="T19" s="26"/>
      <c r="U19" s="24"/>
      <c r="V19" s="24"/>
      <c r="W19" s="26"/>
      <c r="X19" s="13"/>
      <c r="Y19" s="40"/>
      <c r="Z19" s="5">
        <v>1.6</v>
      </c>
      <c r="AA19" s="5">
        <v>9.5</v>
      </c>
      <c r="AB19" s="5">
        <v>1.4</v>
      </c>
      <c r="AC19" s="5">
        <v>6.97</v>
      </c>
      <c r="AD19" s="13"/>
      <c r="AE19" s="13"/>
      <c r="AF19" s="13"/>
      <c r="AG19" s="13"/>
      <c r="AH19" s="15"/>
    </row>
    <row r="20" spans="1:38" x14ac:dyDescent="0.4">
      <c r="A20" s="8"/>
      <c r="B20" s="8"/>
      <c r="C20" s="9"/>
      <c r="D20" s="9"/>
      <c r="E20" s="18"/>
      <c r="F20" s="18"/>
      <c r="G20" s="31"/>
      <c r="H20" s="31"/>
      <c r="I20" s="31"/>
      <c r="J20" s="31"/>
      <c r="K20" s="31"/>
      <c r="L20" s="18"/>
      <c r="M20" s="18"/>
      <c r="N20" s="14"/>
      <c r="O20" s="14"/>
      <c r="P20" s="14"/>
      <c r="Q20" s="18"/>
      <c r="R20" s="22"/>
      <c r="S20" s="31"/>
      <c r="T20" s="31"/>
      <c r="U20" s="31"/>
      <c r="V20" s="31"/>
      <c r="W20" s="31"/>
      <c r="X20" s="14"/>
      <c r="Y20" s="42"/>
      <c r="Z20" s="22"/>
      <c r="AA20" s="22"/>
      <c r="AB20" s="22"/>
      <c r="AC20" s="22"/>
      <c r="AD20" s="14"/>
      <c r="AE20" s="14"/>
      <c r="AF20" s="14"/>
      <c r="AG20" s="14"/>
      <c r="AH20" s="14"/>
    </row>
    <row r="21" spans="1:38" x14ac:dyDescent="0.4">
      <c r="A21" s="3" t="s">
        <v>62</v>
      </c>
      <c r="B21" s="1" t="s">
        <v>64</v>
      </c>
      <c r="C21" s="45">
        <v>-20</v>
      </c>
      <c r="D21" s="2"/>
      <c r="E21" s="5"/>
      <c r="F21" s="5"/>
      <c r="G21" s="5">
        <v>3.51</v>
      </c>
      <c r="H21" s="5">
        <v>1.81</v>
      </c>
      <c r="I21" s="5"/>
      <c r="J21" s="5"/>
      <c r="K21" s="5">
        <v>1.94</v>
      </c>
      <c r="L21" s="17"/>
      <c r="M21" s="6">
        <v>55</v>
      </c>
      <c r="N21" s="13"/>
      <c r="O21" s="45">
        <v>-20</v>
      </c>
      <c r="P21" s="13"/>
      <c r="Q21" s="5"/>
      <c r="R21" s="5"/>
      <c r="S21" s="5">
        <v>2.46</v>
      </c>
      <c r="T21" s="5">
        <v>2.11</v>
      </c>
      <c r="U21" s="5"/>
      <c r="V21" s="5"/>
      <c r="W21" s="5">
        <v>1.17</v>
      </c>
      <c r="X21" s="4">
        <v>3</v>
      </c>
      <c r="Y21" s="40"/>
      <c r="Z21" s="5"/>
      <c r="AA21" s="5"/>
      <c r="AB21" s="5"/>
      <c r="AC21" s="5"/>
      <c r="AD21" s="13"/>
      <c r="AE21" s="13" t="s">
        <v>37</v>
      </c>
      <c r="AF21" s="7">
        <v>4.5</v>
      </c>
      <c r="AG21" s="7">
        <v>1.5</v>
      </c>
      <c r="AH21" s="7">
        <f>AF21/AG21</f>
        <v>3</v>
      </c>
    </row>
    <row r="22" spans="1:38" x14ac:dyDescent="0.4">
      <c r="A22" s="46"/>
      <c r="C22" s="2">
        <v>-15</v>
      </c>
      <c r="D22" s="2"/>
      <c r="E22" s="5"/>
      <c r="F22" s="5"/>
      <c r="G22" s="29"/>
      <c r="H22" s="29"/>
      <c r="I22" s="5"/>
      <c r="J22" s="5"/>
      <c r="K22" s="29"/>
      <c r="L22" s="17"/>
      <c r="M22" s="6">
        <v>55</v>
      </c>
      <c r="N22" s="13"/>
      <c r="O22" s="13">
        <v>-15</v>
      </c>
      <c r="P22" s="13"/>
      <c r="Q22" s="5"/>
      <c r="R22" s="5"/>
      <c r="S22" s="29">
        <v>3</v>
      </c>
      <c r="T22" s="29">
        <v>2.12</v>
      </c>
      <c r="U22" s="5"/>
      <c r="V22" s="5"/>
      <c r="W22" s="29">
        <v>1.42</v>
      </c>
      <c r="X22" s="13"/>
      <c r="Y22" s="40"/>
      <c r="Z22" s="5"/>
      <c r="AA22" s="5"/>
      <c r="AB22" s="5"/>
      <c r="AC22" s="5"/>
      <c r="AD22" s="13"/>
      <c r="AE22" s="13"/>
      <c r="AF22" s="7"/>
      <c r="AG22" s="7"/>
      <c r="AH22" s="43"/>
    </row>
    <row r="23" spans="1:38" x14ac:dyDescent="0.4">
      <c r="A23" s="3"/>
      <c r="C23" s="2">
        <v>-10</v>
      </c>
      <c r="D23" s="2"/>
      <c r="E23" s="5"/>
      <c r="F23" s="5"/>
      <c r="G23" s="5">
        <v>4.2</v>
      </c>
      <c r="H23" s="5">
        <v>1.93</v>
      </c>
      <c r="I23" s="5"/>
      <c r="J23" s="5"/>
      <c r="K23" s="5">
        <v>2.1800000000000002</v>
      </c>
      <c r="L23" s="17"/>
      <c r="M23" s="6">
        <v>60</v>
      </c>
      <c r="N23" s="13"/>
      <c r="O23" s="13">
        <v>-10</v>
      </c>
      <c r="P23" s="13"/>
      <c r="Q23" s="5"/>
      <c r="R23" s="5"/>
      <c r="S23" s="5"/>
      <c r="T23" s="5"/>
      <c r="U23" s="5"/>
      <c r="V23" s="5"/>
      <c r="W23" s="5"/>
      <c r="X23" s="13"/>
      <c r="Y23" s="40" t="s">
        <v>39</v>
      </c>
      <c r="Z23" s="5">
        <v>4.7</v>
      </c>
      <c r="AA23" s="5">
        <v>2.5</v>
      </c>
      <c r="AB23" s="5">
        <v>3.8</v>
      </c>
      <c r="AC23" s="5">
        <v>1.55</v>
      </c>
      <c r="AD23" s="13"/>
      <c r="AE23" s="13" t="s">
        <v>38</v>
      </c>
      <c r="AF23" s="29">
        <v>5.08</v>
      </c>
      <c r="AG23" s="29">
        <v>1.51</v>
      </c>
      <c r="AH23" s="7">
        <v>3.83</v>
      </c>
    </row>
    <row r="24" spans="1:38" x14ac:dyDescent="0.4">
      <c r="A24" s="3"/>
      <c r="C24" s="2">
        <v>-7</v>
      </c>
      <c r="D24" s="2"/>
      <c r="E24" s="5"/>
      <c r="F24" s="5"/>
      <c r="G24" s="5">
        <v>4.2</v>
      </c>
      <c r="H24" s="5">
        <v>1.62</v>
      </c>
      <c r="I24" s="5"/>
      <c r="J24" s="5"/>
      <c r="K24" s="5">
        <v>2.59</v>
      </c>
      <c r="L24" s="17"/>
      <c r="M24" s="6">
        <v>60</v>
      </c>
      <c r="N24" s="13"/>
      <c r="O24" s="13">
        <v>-7</v>
      </c>
      <c r="P24" s="13"/>
      <c r="Q24" s="5"/>
      <c r="R24" s="5"/>
      <c r="S24" s="5">
        <v>3.55</v>
      </c>
      <c r="T24" s="5">
        <v>2.08</v>
      </c>
      <c r="U24" s="5"/>
      <c r="V24" s="5"/>
      <c r="W24" s="5">
        <v>1.71</v>
      </c>
      <c r="X24" s="13"/>
      <c r="Y24" s="41">
        <f>AA24*(1.029-(0.05*Z24/G26))</f>
        <v>2.6254199999999996</v>
      </c>
      <c r="Z24" s="5">
        <v>4.2</v>
      </c>
      <c r="AA24" s="5">
        <v>2.66</v>
      </c>
      <c r="AB24" s="5">
        <v>3.4</v>
      </c>
      <c r="AC24" s="5">
        <v>1.93</v>
      </c>
      <c r="AD24" s="13"/>
      <c r="AE24" s="13" t="s">
        <v>40</v>
      </c>
      <c r="AF24" s="7">
        <v>4.8</v>
      </c>
      <c r="AG24" s="7">
        <v>1.1200000000000001</v>
      </c>
      <c r="AH24" s="7">
        <v>4.71</v>
      </c>
    </row>
    <row r="25" spans="1:38" x14ac:dyDescent="0.4">
      <c r="A25" s="3"/>
      <c r="C25" s="2">
        <v>2</v>
      </c>
      <c r="D25" s="2"/>
      <c r="E25" s="5"/>
      <c r="F25" s="5"/>
      <c r="G25" s="5">
        <v>4.2</v>
      </c>
      <c r="H25" s="5">
        <v>1.32</v>
      </c>
      <c r="I25" s="5"/>
      <c r="J25" s="5"/>
      <c r="K25" s="5">
        <v>3.18</v>
      </c>
      <c r="L25" s="17"/>
      <c r="M25" s="6">
        <v>60</v>
      </c>
      <c r="N25" s="13"/>
      <c r="O25" s="13">
        <v>2</v>
      </c>
      <c r="P25" s="13"/>
      <c r="Q25" s="5"/>
      <c r="R25" s="5"/>
      <c r="S25" s="5">
        <v>4.0999999999999996</v>
      </c>
      <c r="T25" s="5">
        <v>2.06</v>
      </c>
      <c r="U25" s="5"/>
      <c r="V25" s="5"/>
      <c r="W25" s="5">
        <v>1.99</v>
      </c>
      <c r="X25" s="13"/>
      <c r="Y25" s="41">
        <f>AA25*(0.906-(0.044*Z25/G26))</f>
        <v>4.5526</v>
      </c>
      <c r="Z25" s="5">
        <v>2.5</v>
      </c>
      <c r="AA25" s="5">
        <v>5.15</v>
      </c>
      <c r="AB25" s="5">
        <v>2.1</v>
      </c>
      <c r="AC25" s="5">
        <v>3.48</v>
      </c>
      <c r="AD25" s="13"/>
      <c r="AE25" s="13"/>
      <c r="AF25" s="34"/>
      <c r="AG25" s="34"/>
      <c r="AH25" s="33"/>
    </row>
    <row r="26" spans="1:38" x14ac:dyDescent="0.4">
      <c r="A26" s="3"/>
      <c r="C26" s="2">
        <v>7</v>
      </c>
      <c r="D26" s="2"/>
      <c r="E26" s="5"/>
      <c r="F26" s="5"/>
      <c r="G26" s="5">
        <v>5</v>
      </c>
      <c r="H26" s="5">
        <v>1</v>
      </c>
      <c r="I26" s="5"/>
      <c r="J26" s="5"/>
      <c r="K26" s="5">
        <v>5</v>
      </c>
      <c r="L26" s="17"/>
      <c r="M26" s="6">
        <v>60</v>
      </c>
      <c r="N26" s="13"/>
      <c r="O26" s="13">
        <v>7</v>
      </c>
      <c r="P26" s="13"/>
      <c r="Q26" s="5"/>
      <c r="R26" s="5"/>
      <c r="S26" s="5">
        <v>5</v>
      </c>
      <c r="T26" s="5">
        <v>1.84</v>
      </c>
      <c r="U26" s="5"/>
      <c r="V26" s="5"/>
      <c r="W26" s="5">
        <v>2.72</v>
      </c>
      <c r="X26" s="13"/>
      <c r="Y26" s="41">
        <f>K26</f>
        <v>5</v>
      </c>
      <c r="Z26" s="5">
        <v>1.7</v>
      </c>
      <c r="AA26" s="5">
        <v>6.95</v>
      </c>
      <c r="AB26" s="5">
        <v>1.4</v>
      </c>
      <c r="AC26" s="5">
        <v>4.5999999999999996</v>
      </c>
      <c r="AD26" s="13"/>
      <c r="AE26" s="13"/>
      <c r="AF26" s="34"/>
      <c r="AG26" s="34"/>
      <c r="AH26" s="33"/>
    </row>
    <row r="27" spans="1:38" x14ac:dyDescent="0.4">
      <c r="A27" s="3"/>
      <c r="C27" s="2">
        <v>12</v>
      </c>
      <c r="D27" s="2"/>
      <c r="E27" s="5"/>
      <c r="F27" s="5"/>
      <c r="G27" s="26"/>
      <c r="H27" s="26"/>
      <c r="I27" s="24"/>
      <c r="J27" s="24"/>
      <c r="K27" s="26"/>
      <c r="L27" s="17"/>
      <c r="M27" s="6">
        <v>60</v>
      </c>
      <c r="N27" s="13"/>
      <c r="O27" s="13">
        <v>12</v>
      </c>
      <c r="P27" s="13"/>
      <c r="Q27" s="5"/>
      <c r="R27" s="5"/>
      <c r="S27" s="26"/>
      <c r="T27" s="26"/>
      <c r="U27" s="24"/>
      <c r="V27" s="24"/>
      <c r="W27" s="26"/>
      <c r="X27" s="13"/>
      <c r="Y27" s="40"/>
      <c r="Z27" s="5">
        <v>1.6</v>
      </c>
      <c r="AA27" s="5">
        <v>9.4499999999999993</v>
      </c>
      <c r="AB27" s="5">
        <v>1.5</v>
      </c>
      <c r="AC27" s="5">
        <v>6.9</v>
      </c>
      <c r="AD27" s="13"/>
      <c r="AE27" s="13"/>
      <c r="AF27" s="34"/>
      <c r="AG27" s="34"/>
      <c r="AH27" s="33"/>
    </row>
    <row r="28" spans="1:38" x14ac:dyDescent="0.4">
      <c r="A28" s="8"/>
      <c r="B28" s="8"/>
      <c r="C28" s="9"/>
      <c r="D28" s="9"/>
      <c r="E28" s="18"/>
      <c r="F28" s="18"/>
      <c r="G28" s="31"/>
      <c r="H28" s="31"/>
      <c r="I28" s="31"/>
      <c r="J28" s="31"/>
      <c r="K28" s="31"/>
      <c r="L28" s="18"/>
      <c r="M28" s="18"/>
      <c r="N28" s="14"/>
      <c r="O28" s="14"/>
      <c r="P28" s="14"/>
      <c r="Q28" s="18"/>
      <c r="R28" s="22"/>
      <c r="S28" s="31"/>
      <c r="T28" s="31"/>
      <c r="U28" s="31"/>
      <c r="V28" s="31"/>
      <c r="W28" s="31"/>
      <c r="X28" s="14"/>
      <c r="Y28" s="42"/>
      <c r="Z28" s="22"/>
      <c r="AA28" s="22"/>
      <c r="AB28" s="22"/>
      <c r="AC28" s="22"/>
      <c r="AD28" s="14"/>
      <c r="AE28" s="14"/>
      <c r="AF28" s="30"/>
      <c r="AG28" s="30"/>
      <c r="AH28" s="30"/>
    </row>
    <row r="29" spans="1:38" x14ac:dyDescent="0.4">
      <c r="A29" s="3" t="s">
        <v>69</v>
      </c>
      <c r="B29" s="1" t="s">
        <v>64</v>
      </c>
      <c r="C29" s="45">
        <v>-20</v>
      </c>
      <c r="D29" s="2"/>
      <c r="E29" s="5"/>
      <c r="F29" s="5"/>
      <c r="G29" s="5">
        <v>3.51</v>
      </c>
      <c r="H29" s="5">
        <v>1.81</v>
      </c>
      <c r="I29" s="5"/>
      <c r="J29" s="5"/>
      <c r="K29" s="5">
        <v>1.94</v>
      </c>
      <c r="L29" s="17"/>
      <c r="M29" s="6">
        <v>55</v>
      </c>
      <c r="N29" s="13"/>
      <c r="O29" s="45">
        <v>-20</v>
      </c>
      <c r="P29" s="13"/>
      <c r="Q29" s="5"/>
      <c r="R29" s="5"/>
      <c r="S29" s="5">
        <v>2.46</v>
      </c>
      <c r="T29" s="5">
        <v>2.11</v>
      </c>
      <c r="U29" s="5"/>
      <c r="V29" s="5"/>
      <c r="W29" s="5">
        <v>1.17</v>
      </c>
      <c r="X29" s="4">
        <v>3</v>
      </c>
      <c r="Y29" s="40"/>
      <c r="Z29" s="5"/>
      <c r="AA29" s="5"/>
      <c r="AB29" s="5"/>
      <c r="AC29" s="5"/>
      <c r="AD29" s="13"/>
      <c r="AE29" s="13" t="s">
        <v>37</v>
      </c>
      <c r="AF29" s="7">
        <v>4.5</v>
      </c>
      <c r="AG29" s="7">
        <v>1.5</v>
      </c>
      <c r="AH29" s="7">
        <f>AF29/AG29</f>
        <v>3</v>
      </c>
    </row>
    <row r="30" spans="1:38" x14ac:dyDescent="0.4">
      <c r="A30" s="46"/>
      <c r="C30" s="2">
        <v>-15</v>
      </c>
      <c r="D30" s="2"/>
      <c r="E30" s="5"/>
      <c r="F30" s="5"/>
      <c r="G30" s="29"/>
      <c r="H30" s="29"/>
      <c r="I30" s="5"/>
      <c r="J30" s="5"/>
      <c r="K30" s="29"/>
      <c r="L30" s="17"/>
      <c r="M30" s="6">
        <v>55</v>
      </c>
      <c r="N30" s="13"/>
      <c r="O30" s="13">
        <v>-15</v>
      </c>
      <c r="P30" s="13"/>
      <c r="Q30" s="5"/>
      <c r="R30" s="5"/>
      <c r="S30" s="29">
        <v>3</v>
      </c>
      <c r="T30" s="29">
        <v>2.12</v>
      </c>
      <c r="U30" s="5"/>
      <c r="V30" s="5"/>
      <c r="W30" s="29">
        <v>1.42</v>
      </c>
      <c r="X30" s="13"/>
      <c r="Y30" s="40"/>
      <c r="Z30" s="5"/>
      <c r="AA30" s="5"/>
      <c r="AB30" s="5"/>
      <c r="AC30" s="5"/>
      <c r="AD30" s="13"/>
      <c r="AE30" s="13"/>
      <c r="AF30" s="7"/>
      <c r="AG30" s="7"/>
      <c r="AH30" s="43"/>
    </row>
    <row r="31" spans="1:38" x14ac:dyDescent="0.4">
      <c r="A31" s="3"/>
      <c r="C31" s="2">
        <v>-10</v>
      </c>
      <c r="D31" s="2"/>
      <c r="E31" s="5"/>
      <c r="F31" s="5"/>
      <c r="G31" s="5">
        <v>4.2</v>
      </c>
      <c r="H31" s="5">
        <v>1.93</v>
      </c>
      <c r="I31" s="5"/>
      <c r="J31" s="5"/>
      <c r="K31" s="5">
        <v>2.1800000000000002</v>
      </c>
      <c r="L31" s="17"/>
      <c r="M31" s="6">
        <v>60</v>
      </c>
      <c r="N31" s="13"/>
      <c r="O31" s="13">
        <v>-10</v>
      </c>
      <c r="P31" s="13"/>
      <c r="Q31" s="5"/>
      <c r="R31" s="5"/>
      <c r="S31" s="5"/>
      <c r="T31" s="5"/>
      <c r="U31" s="5"/>
      <c r="V31" s="5"/>
      <c r="W31" s="5"/>
      <c r="X31" s="13"/>
      <c r="Y31" s="40" t="s">
        <v>39</v>
      </c>
      <c r="Z31" s="5">
        <v>4.7</v>
      </c>
      <c r="AA31" s="5">
        <v>2.5</v>
      </c>
      <c r="AB31" s="5">
        <v>3.8</v>
      </c>
      <c r="AC31" s="5">
        <v>1.55</v>
      </c>
      <c r="AD31" s="13"/>
      <c r="AE31" s="13" t="s">
        <v>38</v>
      </c>
      <c r="AF31" s="29">
        <v>5.08</v>
      </c>
      <c r="AG31" s="29">
        <v>1.51</v>
      </c>
      <c r="AH31" s="7">
        <v>3.83</v>
      </c>
    </row>
    <row r="32" spans="1:38" x14ac:dyDescent="0.4">
      <c r="A32" s="3"/>
      <c r="C32" s="2">
        <v>-7</v>
      </c>
      <c r="D32" s="2"/>
      <c r="E32" s="5"/>
      <c r="F32" s="5"/>
      <c r="G32" s="5">
        <v>4.2</v>
      </c>
      <c r="H32" s="5">
        <v>1.62</v>
      </c>
      <c r="I32" s="5"/>
      <c r="J32" s="5"/>
      <c r="K32" s="5">
        <v>2.59</v>
      </c>
      <c r="L32" s="17"/>
      <c r="M32" s="6">
        <v>60</v>
      </c>
      <c r="N32" s="13"/>
      <c r="O32" s="13">
        <v>-7</v>
      </c>
      <c r="P32" s="13"/>
      <c r="Q32" s="5"/>
      <c r="R32" s="5"/>
      <c r="S32" s="5">
        <v>3.55</v>
      </c>
      <c r="T32" s="5">
        <v>2.08</v>
      </c>
      <c r="U32" s="5"/>
      <c r="V32" s="5"/>
      <c r="W32" s="5">
        <v>1.71</v>
      </c>
      <c r="X32" s="13"/>
      <c r="Y32" s="41">
        <f>AA32*(1.029-(0.05*Z32/G34))</f>
        <v>2.6254199999999996</v>
      </c>
      <c r="Z32" s="5">
        <v>4.2</v>
      </c>
      <c r="AA32" s="5">
        <v>2.66</v>
      </c>
      <c r="AB32" s="5">
        <v>3.4</v>
      </c>
      <c r="AC32" s="5">
        <v>1.93</v>
      </c>
      <c r="AD32" s="13"/>
      <c r="AE32" s="13" t="s">
        <v>40</v>
      </c>
      <c r="AF32" s="7">
        <v>4.8</v>
      </c>
      <c r="AG32" s="7">
        <v>1.1200000000000001</v>
      </c>
      <c r="AH32" s="7">
        <v>4.71</v>
      </c>
    </row>
    <row r="33" spans="1:34" x14ac:dyDescent="0.4">
      <c r="A33" s="3"/>
      <c r="C33" s="2">
        <v>2</v>
      </c>
      <c r="D33" s="2"/>
      <c r="E33" s="5"/>
      <c r="F33" s="5"/>
      <c r="G33" s="5">
        <v>4.2</v>
      </c>
      <c r="H33" s="5">
        <v>1.32</v>
      </c>
      <c r="I33" s="5"/>
      <c r="J33" s="5"/>
      <c r="K33" s="5">
        <v>3.18</v>
      </c>
      <c r="L33" s="17"/>
      <c r="M33" s="6">
        <v>60</v>
      </c>
      <c r="N33" s="13"/>
      <c r="O33" s="13">
        <v>2</v>
      </c>
      <c r="P33" s="13"/>
      <c r="Q33" s="5"/>
      <c r="R33" s="5"/>
      <c r="S33" s="5">
        <v>4.0999999999999996</v>
      </c>
      <c r="T33" s="5">
        <v>2.06</v>
      </c>
      <c r="U33" s="5"/>
      <c r="V33" s="5"/>
      <c r="W33" s="5">
        <v>1.99</v>
      </c>
      <c r="X33" s="13"/>
      <c r="Y33" s="41">
        <f>AA33*(0.906-(0.044*Z33/G34))</f>
        <v>4.5526</v>
      </c>
      <c r="Z33" s="5">
        <v>2.5</v>
      </c>
      <c r="AA33" s="5">
        <v>5.15</v>
      </c>
      <c r="AB33" s="5">
        <v>2.1</v>
      </c>
      <c r="AC33" s="5">
        <v>3.48</v>
      </c>
      <c r="AD33" s="13"/>
      <c r="AE33" s="13"/>
      <c r="AF33" s="13"/>
      <c r="AG33" s="13"/>
      <c r="AH33" s="15"/>
    </row>
    <row r="34" spans="1:34" x14ac:dyDescent="0.4">
      <c r="A34" s="3"/>
      <c r="C34" s="2">
        <v>7</v>
      </c>
      <c r="D34" s="2"/>
      <c r="E34" s="5"/>
      <c r="F34" s="5"/>
      <c r="G34" s="5">
        <v>5</v>
      </c>
      <c r="H34" s="5">
        <v>1</v>
      </c>
      <c r="I34" s="5"/>
      <c r="J34" s="5"/>
      <c r="K34" s="5">
        <v>5</v>
      </c>
      <c r="L34" s="17"/>
      <c r="M34" s="6">
        <v>60</v>
      </c>
      <c r="N34" s="13"/>
      <c r="O34" s="13">
        <v>7</v>
      </c>
      <c r="P34" s="13"/>
      <c r="Q34" s="5"/>
      <c r="R34" s="5"/>
      <c r="S34" s="5">
        <v>5</v>
      </c>
      <c r="T34" s="5">
        <v>1.84</v>
      </c>
      <c r="U34" s="5"/>
      <c r="V34" s="5"/>
      <c r="W34" s="5">
        <v>2.72</v>
      </c>
      <c r="X34" s="13"/>
      <c r="Y34" s="41">
        <f>K34</f>
        <v>5</v>
      </c>
      <c r="Z34" s="5">
        <v>1.7</v>
      </c>
      <c r="AA34" s="5">
        <v>6.95</v>
      </c>
      <c r="AB34" s="5">
        <v>1.4</v>
      </c>
      <c r="AC34" s="5">
        <v>4.5999999999999996</v>
      </c>
      <c r="AD34" s="13"/>
      <c r="AE34" s="13"/>
      <c r="AF34" s="34"/>
      <c r="AG34" s="34"/>
      <c r="AH34" s="33"/>
    </row>
    <row r="35" spans="1:34" x14ac:dyDescent="0.4">
      <c r="A35" s="3"/>
      <c r="C35" s="2">
        <v>12</v>
      </c>
      <c r="D35" s="2"/>
      <c r="E35" s="5"/>
      <c r="F35" s="5"/>
      <c r="G35" s="26"/>
      <c r="H35" s="26"/>
      <c r="I35" s="24"/>
      <c r="J35" s="24"/>
      <c r="K35" s="26"/>
      <c r="L35" s="17"/>
      <c r="M35" s="6">
        <v>60</v>
      </c>
      <c r="N35" s="13"/>
      <c r="O35" s="13">
        <v>12</v>
      </c>
      <c r="P35" s="13"/>
      <c r="Q35" s="5"/>
      <c r="R35" s="5"/>
      <c r="S35" s="26"/>
      <c r="T35" s="26"/>
      <c r="U35" s="24"/>
      <c r="V35" s="24"/>
      <c r="W35" s="26"/>
      <c r="X35" s="13"/>
      <c r="Y35" s="40"/>
      <c r="Z35" s="5">
        <v>1.6</v>
      </c>
      <c r="AA35" s="5">
        <v>9.4499999999999993</v>
      </c>
      <c r="AB35" s="5">
        <v>1.5</v>
      </c>
      <c r="AC35" s="5">
        <v>6.9</v>
      </c>
      <c r="AD35" s="13"/>
      <c r="AE35" s="13"/>
      <c r="AF35" s="34"/>
      <c r="AG35" s="34"/>
      <c r="AH35" s="33"/>
    </row>
    <row r="36" spans="1:34" x14ac:dyDescent="0.4">
      <c r="A36" s="8"/>
      <c r="B36" s="8"/>
      <c r="C36" s="9"/>
      <c r="D36" s="9"/>
      <c r="E36" s="18"/>
      <c r="F36" s="18"/>
      <c r="G36" s="31"/>
      <c r="H36" s="31"/>
      <c r="I36" s="31"/>
      <c r="J36" s="31"/>
      <c r="K36" s="31"/>
      <c r="L36" s="18"/>
      <c r="M36" s="18"/>
      <c r="N36" s="14"/>
      <c r="O36" s="14"/>
      <c r="P36" s="14"/>
      <c r="Q36" s="18"/>
      <c r="R36" s="22"/>
      <c r="S36" s="31"/>
      <c r="T36" s="31"/>
      <c r="U36" s="31"/>
      <c r="V36" s="31"/>
      <c r="W36" s="31"/>
      <c r="X36" s="14"/>
      <c r="Y36" s="42"/>
      <c r="Z36" s="22"/>
      <c r="AA36" s="22"/>
      <c r="AB36" s="22"/>
      <c r="AC36" s="22"/>
      <c r="AD36" s="14"/>
      <c r="AE36" s="14"/>
      <c r="AF36" s="30"/>
      <c r="AG36" s="30"/>
      <c r="AH36" s="30"/>
    </row>
    <row r="37" spans="1:34" x14ac:dyDescent="0.4">
      <c r="A37" s="3" t="s">
        <v>62</v>
      </c>
      <c r="B37" s="1" t="s">
        <v>63</v>
      </c>
      <c r="C37" s="45">
        <v>-20</v>
      </c>
      <c r="D37" s="2"/>
      <c r="E37" s="5"/>
      <c r="F37" s="5"/>
      <c r="G37" s="5">
        <v>3.98</v>
      </c>
      <c r="H37" s="5">
        <v>1.88</v>
      </c>
      <c r="I37" s="5"/>
      <c r="J37" s="5"/>
      <c r="K37" s="5">
        <v>2.12</v>
      </c>
      <c r="L37" s="17"/>
      <c r="M37" s="6">
        <v>55</v>
      </c>
      <c r="N37" s="13"/>
      <c r="O37" s="45">
        <v>-20</v>
      </c>
      <c r="P37" s="13"/>
      <c r="Q37" s="5"/>
      <c r="R37" s="5"/>
      <c r="S37" s="5">
        <v>3.3</v>
      </c>
      <c r="T37" s="5">
        <v>2.77</v>
      </c>
      <c r="U37" s="5"/>
      <c r="V37" s="5"/>
      <c r="W37" s="5">
        <v>1.19</v>
      </c>
      <c r="X37" s="4">
        <v>3</v>
      </c>
      <c r="Y37" s="40"/>
      <c r="Z37" s="5"/>
      <c r="AA37" s="5"/>
      <c r="AB37" s="5"/>
      <c r="AC37" s="5"/>
      <c r="AD37" s="13"/>
      <c r="AE37" s="13" t="s">
        <v>37</v>
      </c>
      <c r="AF37" s="7">
        <v>6.7</v>
      </c>
      <c r="AG37" s="7">
        <v>2.21</v>
      </c>
      <c r="AH37" s="7">
        <f>AF37/AG37</f>
        <v>3.0316742081447967</v>
      </c>
    </row>
    <row r="38" spans="1:34" x14ac:dyDescent="0.4">
      <c r="A38" s="46"/>
      <c r="C38" s="2">
        <v>-15</v>
      </c>
      <c r="D38" s="2"/>
      <c r="E38" s="5"/>
      <c r="F38" s="5"/>
      <c r="G38" s="5">
        <v>4.75</v>
      </c>
      <c r="H38" s="5">
        <v>2</v>
      </c>
      <c r="I38" s="5"/>
      <c r="J38" s="5"/>
      <c r="K38" s="5">
        <v>2.38</v>
      </c>
      <c r="L38" s="17"/>
      <c r="M38" s="6">
        <v>55</v>
      </c>
      <c r="N38" s="13"/>
      <c r="O38" s="13">
        <v>-15</v>
      </c>
      <c r="P38" s="13"/>
      <c r="Q38" s="5"/>
      <c r="R38" s="5"/>
      <c r="S38" s="5">
        <v>4.5</v>
      </c>
      <c r="T38" s="5">
        <v>2.96</v>
      </c>
      <c r="U38" s="5"/>
      <c r="V38" s="5"/>
      <c r="W38" s="5">
        <v>1.52</v>
      </c>
      <c r="X38" s="13"/>
      <c r="Y38" s="40"/>
      <c r="Z38" s="5"/>
      <c r="AA38" s="5"/>
      <c r="AB38" s="5"/>
      <c r="AC38" s="5"/>
      <c r="AD38" s="13"/>
      <c r="AE38" s="13"/>
      <c r="AF38" s="7"/>
      <c r="AG38" s="7"/>
      <c r="AH38" s="7"/>
    </row>
    <row r="39" spans="1:34" x14ac:dyDescent="0.4">
      <c r="A39" s="3"/>
      <c r="C39" s="2">
        <v>-10</v>
      </c>
      <c r="D39" s="2"/>
      <c r="E39" s="5"/>
      <c r="F39" s="5"/>
      <c r="G39" s="29"/>
      <c r="H39" s="29"/>
      <c r="I39" s="5"/>
      <c r="J39" s="5"/>
      <c r="K39" s="29"/>
      <c r="L39" s="17"/>
      <c r="M39" s="6">
        <v>60</v>
      </c>
      <c r="N39" s="13"/>
      <c r="O39" s="13">
        <v>-10</v>
      </c>
      <c r="P39" s="13"/>
      <c r="Q39" s="5"/>
      <c r="R39" s="5"/>
      <c r="S39" s="29"/>
      <c r="T39" s="29"/>
      <c r="U39" s="5"/>
      <c r="V39" s="5"/>
      <c r="W39" s="29"/>
      <c r="X39" s="13"/>
      <c r="Y39" s="40" t="s">
        <v>39</v>
      </c>
      <c r="Z39" s="5">
        <v>6</v>
      </c>
      <c r="AA39" s="5">
        <v>2.95</v>
      </c>
      <c r="AB39" s="5">
        <v>6.2</v>
      </c>
      <c r="AC39" s="5">
        <v>1.7</v>
      </c>
      <c r="AD39" s="13"/>
      <c r="AE39" s="13" t="s">
        <v>38</v>
      </c>
      <c r="AF39" s="7">
        <v>8.1</v>
      </c>
      <c r="AG39" s="7">
        <v>2.23</v>
      </c>
      <c r="AH39" s="7">
        <f t="shared" ref="AH39:AH40" si="0">AF39/AG39</f>
        <v>3.6322869955156949</v>
      </c>
    </row>
    <row r="40" spans="1:34" x14ac:dyDescent="0.4">
      <c r="A40" s="3"/>
      <c r="C40" s="2">
        <v>-7</v>
      </c>
      <c r="D40" s="2"/>
      <c r="E40" s="5"/>
      <c r="F40" s="5"/>
      <c r="G40" s="5">
        <v>5.6</v>
      </c>
      <c r="H40" s="5">
        <v>1.95</v>
      </c>
      <c r="I40" s="5"/>
      <c r="J40" s="5"/>
      <c r="K40" s="5">
        <v>2.87</v>
      </c>
      <c r="L40" s="17"/>
      <c r="M40" s="6">
        <v>60</v>
      </c>
      <c r="N40" s="13"/>
      <c r="O40" s="13">
        <v>-7</v>
      </c>
      <c r="P40" s="13"/>
      <c r="Q40" s="5"/>
      <c r="R40" s="5"/>
      <c r="S40" s="5">
        <v>5.25</v>
      </c>
      <c r="T40" s="5">
        <v>2.7</v>
      </c>
      <c r="U40" s="5"/>
      <c r="V40" s="5"/>
      <c r="W40" s="5">
        <v>1.94</v>
      </c>
      <c r="X40" s="19"/>
      <c r="Y40" s="41">
        <f>AA40*(1.029-(0.05*Z40/G42))</f>
        <v>3.0130742857142856</v>
      </c>
      <c r="Z40" s="5">
        <v>5.3</v>
      </c>
      <c r="AA40" s="5">
        <v>3.04</v>
      </c>
      <c r="AB40" s="5">
        <v>6.3</v>
      </c>
      <c r="AC40" s="5">
        <v>1.86</v>
      </c>
      <c r="AD40" s="13"/>
      <c r="AE40" s="13" t="s">
        <v>40</v>
      </c>
      <c r="AF40" s="7">
        <v>6.7</v>
      </c>
      <c r="AG40" s="7">
        <v>1.42</v>
      </c>
      <c r="AH40" s="7">
        <f t="shared" si="0"/>
        <v>4.71830985915493</v>
      </c>
    </row>
    <row r="41" spans="1:34" x14ac:dyDescent="0.4">
      <c r="A41" s="3"/>
      <c r="C41" s="2">
        <v>2</v>
      </c>
      <c r="D41" s="2"/>
      <c r="E41" s="5"/>
      <c r="F41" s="5"/>
      <c r="G41" s="5">
        <v>6.85</v>
      </c>
      <c r="H41" s="5">
        <v>2.0099999999999998</v>
      </c>
      <c r="I41" s="5"/>
      <c r="J41" s="5"/>
      <c r="K41" s="5">
        <v>3.41</v>
      </c>
      <c r="L41" s="17"/>
      <c r="M41" s="6">
        <v>60</v>
      </c>
      <c r="N41" s="13"/>
      <c r="O41" s="13">
        <v>2</v>
      </c>
      <c r="P41" s="13"/>
      <c r="Q41" s="5"/>
      <c r="R41" s="5"/>
      <c r="S41" s="5">
        <v>6.2</v>
      </c>
      <c r="T41" s="5">
        <v>2.8</v>
      </c>
      <c r="U41" s="5"/>
      <c r="V41" s="5"/>
      <c r="W41" s="5">
        <v>2.21</v>
      </c>
      <c r="X41" s="19"/>
      <c r="Y41" s="41">
        <f>AA41*(0.906-(0.044*Z41/G42))</f>
        <v>4.393993142857143</v>
      </c>
      <c r="Z41" s="5">
        <v>3.2</v>
      </c>
      <c r="AA41" s="5">
        <v>4.96</v>
      </c>
      <c r="AB41" s="5">
        <v>3.8</v>
      </c>
      <c r="AC41" s="5">
        <v>3.33</v>
      </c>
      <c r="AD41" s="13"/>
      <c r="AE41" s="13"/>
      <c r="AF41" s="13"/>
      <c r="AG41" s="13"/>
      <c r="AH41" s="15"/>
    </row>
    <row r="42" spans="1:34" x14ac:dyDescent="0.4">
      <c r="A42" s="3"/>
      <c r="C42" s="2">
        <v>7</v>
      </c>
      <c r="D42" s="2"/>
      <c r="E42" s="5"/>
      <c r="F42" s="5"/>
      <c r="G42" s="5">
        <v>7</v>
      </c>
      <c r="H42" s="5">
        <v>1.47</v>
      </c>
      <c r="I42" s="5"/>
      <c r="J42" s="5"/>
      <c r="K42" s="5">
        <v>4.76</v>
      </c>
      <c r="L42" s="17"/>
      <c r="M42" s="6">
        <v>60</v>
      </c>
      <c r="N42" s="13"/>
      <c r="O42" s="13">
        <v>7</v>
      </c>
      <c r="P42" s="13"/>
      <c r="Q42" s="5"/>
      <c r="R42" s="5"/>
      <c r="S42" s="5">
        <v>7</v>
      </c>
      <c r="T42" s="5">
        <v>2.48</v>
      </c>
      <c r="U42" s="5"/>
      <c r="V42" s="5"/>
      <c r="W42" s="5">
        <v>2.82</v>
      </c>
      <c r="X42" s="19"/>
      <c r="Y42" s="41">
        <f>K42</f>
        <v>4.76</v>
      </c>
      <c r="Z42" s="5">
        <v>2.9</v>
      </c>
      <c r="AA42" s="5">
        <v>6.5</v>
      </c>
      <c r="AB42" s="5">
        <v>2.7</v>
      </c>
      <c r="AC42" s="5">
        <v>4.5199999999999996</v>
      </c>
      <c r="AD42" s="13"/>
      <c r="AE42" s="13"/>
      <c r="AF42" s="34"/>
      <c r="AG42" s="34"/>
      <c r="AH42" s="33"/>
    </row>
    <row r="43" spans="1:34" x14ac:dyDescent="0.4">
      <c r="A43" s="3"/>
      <c r="C43" s="2">
        <v>12</v>
      </c>
      <c r="D43" s="2"/>
      <c r="E43" s="5"/>
      <c r="F43" s="5"/>
      <c r="G43" s="26"/>
      <c r="H43" s="26"/>
      <c r="I43" s="24"/>
      <c r="J43" s="24"/>
      <c r="K43" s="26"/>
      <c r="L43" s="17"/>
      <c r="M43" s="6">
        <v>60</v>
      </c>
      <c r="N43" s="13"/>
      <c r="O43" s="13">
        <v>12</v>
      </c>
      <c r="P43" s="13"/>
      <c r="Q43" s="5"/>
      <c r="R43" s="5"/>
      <c r="S43" s="26"/>
      <c r="T43" s="26"/>
      <c r="U43" s="24"/>
      <c r="V43" s="24"/>
      <c r="W43" s="26"/>
      <c r="X43" s="19"/>
      <c r="Y43" s="40"/>
      <c r="Z43" s="5">
        <v>3.4</v>
      </c>
      <c r="AA43" s="5">
        <v>8.42</v>
      </c>
      <c r="AB43" s="5">
        <v>3.3</v>
      </c>
      <c r="AC43" s="5">
        <v>6.26</v>
      </c>
      <c r="AD43" s="13"/>
      <c r="AE43" s="13"/>
      <c r="AF43" s="34"/>
      <c r="AG43" s="34"/>
      <c r="AH43" s="33"/>
    </row>
    <row r="44" spans="1:34" s="1" customFormat="1" x14ac:dyDescent="0.4">
      <c r="A44" s="8"/>
      <c r="B44" s="8"/>
      <c r="C44" s="9"/>
      <c r="D44" s="9"/>
      <c r="E44" s="18"/>
      <c r="F44" s="18"/>
      <c r="G44" s="31"/>
      <c r="H44" s="31"/>
      <c r="I44" s="31"/>
      <c r="J44" s="31"/>
      <c r="K44" s="31"/>
      <c r="L44" s="18"/>
      <c r="M44" s="18"/>
      <c r="N44" s="14"/>
      <c r="O44" s="14"/>
      <c r="P44" s="14"/>
      <c r="Q44" s="18"/>
      <c r="R44" s="22"/>
      <c r="S44" s="31"/>
      <c r="T44" s="31"/>
      <c r="U44" s="31"/>
      <c r="V44" s="31"/>
      <c r="W44" s="31"/>
      <c r="X44" s="14"/>
      <c r="Y44" s="42"/>
      <c r="Z44" s="22"/>
      <c r="AA44" s="22"/>
      <c r="AB44" s="22"/>
      <c r="AC44" s="22"/>
      <c r="AD44" s="14"/>
      <c r="AE44" s="14"/>
      <c r="AF44" s="30"/>
      <c r="AG44" s="30"/>
      <c r="AH44" s="30"/>
    </row>
    <row r="45" spans="1:34" s="1" customFormat="1" x14ac:dyDescent="0.4">
      <c r="A45" s="3" t="s">
        <v>69</v>
      </c>
      <c r="B45" s="1" t="s">
        <v>63</v>
      </c>
      <c r="C45" s="45">
        <v>-20</v>
      </c>
      <c r="D45" s="2"/>
      <c r="E45" s="5"/>
      <c r="F45" s="5"/>
      <c r="G45" s="5">
        <v>3.98</v>
      </c>
      <c r="H45" s="5">
        <v>1.88</v>
      </c>
      <c r="I45" s="5"/>
      <c r="J45" s="5"/>
      <c r="K45" s="5">
        <v>2.12</v>
      </c>
      <c r="L45" s="17"/>
      <c r="M45" s="6">
        <v>55</v>
      </c>
      <c r="N45" s="13"/>
      <c r="O45" s="45">
        <v>-20</v>
      </c>
      <c r="P45" s="13"/>
      <c r="Q45" s="5"/>
      <c r="R45" s="5"/>
      <c r="S45" s="5">
        <v>3.3</v>
      </c>
      <c r="T45" s="5">
        <v>2.77</v>
      </c>
      <c r="U45" s="5"/>
      <c r="V45" s="5"/>
      <c r="W45" s="5">
        <v>1.19</v>
      </c>
      <c r="X45" s="4">
        <v>3</v>
      </c>
      <c r="Y45" s="40"/>
      <c r="Z45" s="5"/>
      <c r="AA45" s="5"/>
      <c r="AB45" s="5"/>
      <c r="AC45" s="5"/>
      <c r="AD45" s="13"/>
      <c r="AE45" s="13" t="s">
        <v>37</v>
      </c>
      <c r="AF45" s="7">
        <v>6.7</v>
      </c>
      <c r="AG45" s="7">
        <v>2.21</v>
      </c>
      <c r="AH45" s="7">
        <f>AF45/AG45</f>
        <v>3.0316742081447967</v>
      </c>
    </row>
    <row r="46" spans="1:34" s="1" customFormat="1" x14ac:dyDescent="0.4">
      <c r="A46" s="46"/>
      <c r="C46" s="2">
        <v>-15</v>
      </c>
      <c r="D46" s="2"/>
      <c r="E46" s="5"/>
      <c r="F46" s="5"/>
      <c r="G46" s="5">
        <v>4.75</v>
      </c>
      <c r="H46" s="5">
        <v>2</v>
      </c>
      <c r="I46" s="5"/>
      <c r="J46" s="5"/>
      <c r="K46" s="5">
        <v>2.38</v>
      </c>
      <c r="L46" s="17"/>
      <c r="M46" s="6">
        <v>55</v>
      </c>
      <c r="N46" s="13"/>
      <c r="O46" s="13">
        <v>-15</v>
      </c>
      <c r="P46" s="13"/>
      <c r="Q46" s="5"/>
      <c r="R46" s="5"/>
      <c r="S46" s="5">
        <v>4.5</v>
      </c>
      <c r="T46" s="5">
        <v>2.96</v>
      </c>
      <c r="U46" s="5"/>
      <c r="V46" s="5"/>
      <c r="W46" s="5">
        <v>1.52</v>
      </c>
      <c r="X46" s="13"/>
      <c r="Y46" s="40"/>
      <c r="Z46" s="5"/>
      <c r="AA46" s="5"/>
      <c r="AB46" s="5"/>
      <c r="AC46" s="5"/>
      <c r="AD46" s="13"/>
      <c r="AE46" s="13"/>
      <c r="AF46" s="7"/>
      <c r="AG46" s="7"/>
      <c r="AH46" s="7"/>
    </row>
    <row r="47" spans="1:34" s="1" customFormat="1" x14ac:dyDescent="0.4">
      <c r="A47" s="3"/>
      <c r="C47" s="2">
        <v>-10</v>
      </c>
      <c r="D47" s="2"/>
      <c r="E47" s="5"/>
      <c r="F47" s="5"/>
      <c r="G47" s="29"/>
      <c r="H47" s="29"/>
      <c r="I47" s="5"/>
      <c r="J47" s="5"/>
      <c r="K47" s="29"/>
      <c r="L47" s="17"/>
      <c r="M47" s="6">
        <v>60</v>
      </c>
      <c r="N47" s="13"/>
      <c r="O47" s="13">
        <v>-10</v>
      </c>
      <c r="P47" s="13"/>
      <c r="Q47" s="5"/>
      <c r="R47" s="5"/>
      <c r="S47" s="29"/>
      <c r="T47" s="29"/>
      <c r="U47" s="5"/>
      <c r="V47" s="5"/>
      <c r="W47" s="29"/>
      <c r="X47" s="13"/>
      <c r="Y47" s="40" t="s">
        <v>39</v>
      </c>
      <c r="Z47" s="5">
        <v>6</v>
      </c>
      <c r="AA47" s="5">
        <v>2.95</v>
      </c>
      <c r="AB47" s="5">
        <v>6.2</v>
      </c>
      <c r="AC47" s="5">
        <v>1.7</v>
      </c>
      <c r="AD47" s="13"/>
      <c r="AE47" s="13" t="s">
        <v>38</v>
      </c>
      <c r="AF47" s="7">
        <v>8.1</v>
      </c>
      <c r="AG47" s="7">
        <v>2.23</v>
      </c>
      <c r="AH47" s="7">
        <f t="shared" ref="AH47:AH48" si="1">AF47/AG47</f>
        <v>3.6322869955156949</v>
      </c>
    </row>
    <row r="48" spans="1:34" s="1" customFormat="1" x14ac:dyDescent="0.4">
      <c r="A48" s="3"/>
      <c r="C48" s="2">
        <v>-7</v>
      </c>
      <c r="D48" s="2"/>
      <c r="E48" s="5"/>
      <c r="F48" s="5"/>
      <c r="G48" s="5">
        <v>5.6</v>
      </c>
      <c r="H48" s="5">
        <v>1.95</v>
      </c>
      <c r="I48" s="5"/>
      <c r="J48" s="5"/>
      <c r="K48" s="5">
        <v>2.87</v>
      </c>
      <c r="L48" s="17"/>
      <c r="M48" s="6">
        <v>60</v>
      </c>
      <c r="N48" s="13"/>
      <c r="O48" s="13">
        <v>-7</v>
      </c>
      <c r="P48" s="13"/>
      <c r="Q48" s="5"/>
      <c r="R48" s="5"/>
      <c r="S48" s="5">
        <v>5.25</v>
      </c>
      <c r="T48" s="5">
        <v>2.7</v>
      </c>
      <c r="U48" s="5"/>
      <c r="V48" s="5"/>
      <c r="W48" s="5">
        <v>1.94</v>
      </c>
      <c r="X48" s="19"/>
      <c r="Y48" s="41">
        <f>AA48*(1.029-(0.05*Z48/G50))</f>
        <v>3.0130742857142856</v>
      </c>
      <c r="Z48" s="5">
        <v>5.3</v>
      </c>
      <c r="AA48" s="5">
        <v>3.04</v>
      </c>
      <c r="AB48" s="5">
        <v>6.3</v>
      </c>
      <c r="AC48" s="5">
        <v>1.86</v>
      </c>
      <c r="AD48" s="13"/>
      <c r="AE48" s="13" t="s">
        <v>40</v>
      </c>
      <c r="AF48" s="7">
        <v>6.7</v>
      </c>
      <c r="AG48" s="7">
        <v>1.42</v>
      </c>
      <c r="AH48" s="7">
        <f t="shared" si="1"/>
        <v>4.71830985915493</v>
      </c>
    </row>
    <row r="49" spans="1:34" s="1" customFormat="1" x14ac:dyDescent="0.4">
      <c r="A49" s="3"/>
      <c r="C49" s="2">
        <v>2</v>
      </c>
      <c r="D49" s="2"/>
      <c r="E49" s="5"/>
      <c r="F49" s="5"/>
      <c r="G49" s="5">
        <v>6.85</v>
      </c>
      <c r="H49" s="5">
        <v>2.0099999999999998</v>
      </c>
      <c r="I49" s="5"/>
      <c r="J49" s="5"/>
      <c r="K49" s="5">
        <v>3.41</v>
      </c>
      <c r="L49" s="17"/>
      <c r="M49" s="6">
        <v>60</v>
      </c>
      <c r="N49" s="13"/>
      <c r="O49" s="13">
        <v>2</v>
      </c>
      <c r="P49" s="13"/>
      <c r="Q49" s="5"/>
      <c r="R49" s="5"/>
      <c r="S49" s="5">
        <v>6.2</v>
      </c>
      <c r="T49" s="5">
        <v>2.8</v>
      </c>
      <c r="U49" s="5"/>
      <c r="V49" s="5"/>
      <c r="W49" s="5">
        <v>2.21</v>
      </c>
      <c r="X49" s="19"/>
      <c r="Y49" s="41">
        <f>AA49*(0.906-(0.044*Z49/G50))</f>
        <v>4.393993142857143</v>
      </c>
      <c r="Z49" s="5">
        <v>3.2</v>
      </c>
      <c r="AA49" s="5">
        <v>4.96</v>
      </c>
      <c r="AB49" s="5">
        <v>3.8</v>
      </c>
      <c r="AC49" s="5">
        <v>3.33</v>
      </c>
      <c r="AD49" s="13"/>
      <c r="AE49" s="13"/>
      <c r="AF49" s="34"/>
      <c r="AG49" s="34"/>
      <c r="AH49" s="33"/>
    </row>
    <row r="50" spans="1:34" s="1" customFormat="1" x14ac:dyDescent="0.4">
      <c r="A50" s="3"/>
      <c r="C50" s="2">
        <v>7</v>
      </c>
      <c r="D50" s="2"/>
      <c r="E50" s="5"/>
      <c r="F50" s="5"/>
      <c r="G50" s="5">
        <v>7</v>
      </c>
      <c r="H50" s="5">
        <v>1.47</v>
      </c>
      <c r="I50" s="5"/>
      <c r="J50" s="5"/>
      <c r="K50" s="5">
        <v>4.76</v>
      </c>
      <c r="L50" s="17"/>
      <c r="M50" s="6">
        <v>60</v>
      </c>
      <c r="N50" s="13"/>
      <c r="O50" s="13">
        <v>7</v>
      </c>
      <c r="P50" s="13"/>
      <c r="Q50" s="5"/>
      <c r="R50" s="5"/>
      <c r="S50" s="5">
        <v>7</v>
      </c>
      <c r="T50" s="5">
        <v>2.48</v>
      </c>
      <c r="U50" s="5"/>
      <c r="V50" s="5"/>
      <c r="W50" s="5">
        <v>2.82</v>
      </c>
      <c r="X50" s="19"/>
      <c r="Y50" s="41">
        <f>K50</f>
        <v>4.76</v>
      </c>
      <c r="Z50" s="5">
        <v>2.9</v>
      </c>
      <c r="AA50" s="5">
        <v>6.5</v>
      </c>
      <c r="AB50" s="5">
        <v>2.7</v>
      </c>
      <c r="AC50" s="5">
        <v>4.5199999999999996</v>
      </c>
      <c r="AD50" s="13"/>
      <c r="AE50" s="13"/>
      <c r="AF50" s="34"/>
      <c r="AG50" s="34"/>
      <c r="AH50" s="33"/>
    </row>
    <row r="51" spans="1:34" s="1" customFormat="1" x14ac:dyDescent="0.4">
      <c r="A51" s="3"/>
      <c r="C51" s="2">
        <v>12</v>
      </c>
      <c r="D51" s="2"/>
      <c r="E51" s="5"/>
      <c r="F51" s="5"/>
      <c r="G51" s="26"/>
      <c r="H51" s="26"/>
      <c r="I51" s="24"/>
      <c r="J51" s="24"/>
      <c r="K51" s="26"/>
      <c r="L51" s="17"/>
      <c r="M51" s="6">
        <v>60</v>
      </c>
      <c r="N51" s="13"/>
      <c r="O51" s="13">
        <v>12</v>
      </c>
      <c r="P51" s="13"/>
      <c r="Q51" s="5"/>
      <c r="R51" s="5"/>
      <c r="S51" s="26"/>
      <c r="T51" s="26"/>
      <c r="U51" s="24"/>
      <c r="V51" s="24"/>
      <c r="W51" s="26"/>
      <c r="X51" s="19"/>
      <c r="Y51" s="40"/>
      <c r="Z51" s="5">
        <v>3.4</v>
      </c>
      <c r="AA51" s="5">
        <v>8.42</v>
      </c>
      <c r="AB51" s="5">
        <v>3.3</v>
      </c>
      <c r="AC51" s="5">
        <v>6.26</v>
      </c>
      <c r="AD51" s="13"/>
      <c r="AE51" s="13"/>
      <c r="AF51" s="34"/>
      <c r="AG51" s="34"/>
      <c r="AH51" s="33"/>
    </row>
    <row r="52" spans="1:34" s="1" customFormat="1" x14ac:dyDescent="0.4">
      <c r="A52" s="8"/>
      <c r="B52" s="8"/>
      <c r="C52" s="9"/>
      <c r="D52" s="9"/>
      <c r="E52" s="18"/>
      <c r="F52" s="18"/>
      <c r="G52" s="31"/>
      <c r="H52" s="31"/>
      <c r="I52" s="31"/>
      <c r="J52" s="31"/>
      <c r="K52" s="31"/>
      <c r="L52" s="18"/>
      <c r="M52" s="18"/>
      <c r="N52" s="14"/>
      <c r="O52" s="14"/>
      <c r="P52" s="14"/>
      <c r="Q52" s="18"/>
      <c r="R52" s="22"/>
      <c r="S52" s="31"/>
      <c r="T52" s="31"/>
      <c r="U52" s="31"/>
      <c r="V52" s="31"/>
      <c r="W52" s="31"/>
      <c r="X52" s="14"/>
      <c r="Y52" s="42"/>
      <c r="Z52" s="22"/>
      <c r="AA52" s="22"/>
      <c r="AB52" s="22"/>
      <c r="AC52" s="22"/>
      <c r="AD52" s="14"/>
      <c r="AE52" s="14"/>
      <c r="AF52" s="30"/>
      <c r="AG52" s="30"/>
      <c r="AH52" s="30"/>
    </row>
    <row r="53" spans="1:34" s="1" customFormat="1" x14ac:dyDescent="0.4">
      <c r="A53" s="3" t="s">
        <v>62</v>
      </c>
      <c r="B53" s="1" t="s">
        <v>71</v>
      </c>
      <c r="C53" s="45">
        <v>-20</v>
      </c>
      <c r="D53" s="2"/>
      <c r="E53" s="5"/>
      <c r="F53" s="5"/>
      <c r="G53" s="5">
        <v>6.2</v>
      </c>
      <c r="H53" s="5">
        <v>3</v>
      </c>
      <c r="I53" s="5"/>
      <c r="J53" s="5"/>
      <c r="K53" s="5">
        <v>2.0699999999999998</v>
      </c>
      <c r="L53" s="17"/>
      <c r="M53" s="6">
        <v>55</v>
      </c>
      <c r="N53" s="13"/>
      <c r="O53" s="45">
        <v>-20</v>
      </c>
      <c r="P53" s="13"/>
      <c r="Q53" s="5"/>
      <c r="R53" s="5"/>
      <c r="S53" s="5">
        <v>4.2300000000000004</v>
      </c>
      <c r="T53" s="5">
        <v>3.33</v>
      </c>
      <c r="U53" s="5"/>
      <c r="V53" s="5"/>
      <c r="W53" s="5">
        <v>1.27</v>
      </c>
      <c r="X53" s="4">
        <v>3</v>
      </c>
      <c r="Y53" s="40"/>
      <c r="Z53" s="5"/>
      <c r="AA53" s="5"/>
      <c r="AB53" s="5"/>
      <c r="AC53" s="5"/>
      <c r="AD53" s="13"/>
      <c r="AE53" s="13" t="s">
        <v>37</v>
      </c>
      <c r="AF53" s="7">
        <v>8.1999999999999993</v>
      </c>
      <c r="AG53" s="7">
        <v>3.02</v>
      </c>
      <c r="AH53" s="7">
        <f>AF53/AG53</f>
        <v>2.7152317880794699</v>
      </c>
    </row>
    <row r="54" spans="1:34" x14ac:dyDescent="0.4">
      <c r="A54" s="46"/>
      <c r="C54" s="2">
        <v>-15</v>
      </c>
      <c r="D54" s="2"/>
      <c r="E54" s="5"/>
      <c r="F54" s="5"/>
      <c r="G54" s="5">
        <v>7.4</v>
      </c>
      <c r="H54" s="5">
        <v>3.2</v>
      </c>
      <c r="I54" s="5"/>
      <c r="J54" s="5"/>
      <c r="K54" s="5">
        <v>2.31</v>
      </c>
      <c r="L54" s="17"/>
      <c r="M54" s="6">
        <v>55</v>
      </c>
      <c r="N54" s="13"/>
      <c r="O54" s="13">
        <v>-15</v>
      </c>
      <c r="P54" s="13"/>
      <c r="Q54" s="5"/>
      <c r="R54" s="5"/>
      <c r="S54" s="5">
        <v>5.2</v>
      </c>
      <c r="T54" s="5">
        <v>3.42</v>
      </c>
      <c r="U54" s="5"/>
      <c r="V54" s="5"/>
      <c r="W54" s="5">
        <v>1.52</v>
      </c>
      <c r="X54" s="13"/>
      <c r="Y54" s="40"/>
      <c r="Z54" s="5"/>
      <c r="AA54" s="5"/>
      <c r="AB54" s="5"/>
      <c r="AC54" s="5"/>
      <c r="AD54" s="13"/>
      <c r="AE54" s="13"/>
      <c r="AF54" s="7"/>
      <c r="AG54" s="7"/>
      <c r="AH54" s="7"/>
    </row>
    <row r="55" spans="1:34" x14ac:dyDescent="0.4">
      <c r="A55" s="3"/>
      <c r="C55" s="2">
        <v>-10</v>
      </c>
      <c r="D55" s="2"/>
      <c r="E55" s="5"/>
      <c r="F55" s="5"/>
      <c r="G55" s="29"/>
      <c r="H55" s="29"/>
      <c r="I55" s="5"/>
      <c r="J55" s="5"/>
      <c r="K55" s="29"/>
      <c r="L55" s="17"/>
      <c r="M55" s="6">
        <v>60</v>
      </c>
      <c r="N55" s="13"/>
      <c r="O55" s="13">
        <v>-10</v>
      </c>
      <c r="P55" s="13"/>
      <c r="Q55" s="5"/>
      <c r="R55" s="5"/>
      <c r="S55" s="29"/>
      <c r="T55" s="29"/>
      <c r="U55" s="5"/>
      <c r="V55" s="5"/>
      <c r="W55" s="29"/>
      <c r="X55" s="13"/>
      <c r="Y55" s="40" t="s">
        <v>39</v>
      </c>
      <c r="Z55" s="5">
        <v>7</v>
      </c>
      <c r="AA55" s="5">
        <v>2.6</v>
      </c>
      <c r="AB55" s="5">
        <v>6.2</v>
      </c>
      <c r="AC55" s="5">
        <v>1.7</v>
      </c>
      <c r="AD55" s="13"/>
      <c r="AE55" s="13" t="s">
        <v>38</v>
      </c>
      <c r="AF55" s="7">
        <v>9.9</v>
      </c>
      <c r="AG55" s="7">
        <v>3.02</v>
      </c>
      <c r="AH55" s="7">
        <f t="shared" ref="AH55:AH56" si="2">AF55/AG55</f>
        <v>3.2781456953642385</v>
      </c>
    </row>
    <row r="56" spans="1:34" x14ac:dyDescent="0.4">
      <c r="A56" s="3"/>
      <c r="C56" s="2">
        <v>-7</v>
      </c>
      <c r="D56" s="2"/>
      <c r="E56" s="5"/>
      <c r="F56" s="5"/>
      <c r="G56" s="5">
        <v>6.12</v>
      </c>
      <c r="H56" s="5">
        <v>2.2000000000000002</v>
      </c>
      <c r="I56" s="5"/>
      <c r="J56" s="5"/>
      <c r="K56" s="5">
        <v>2.78</v>
      </c>
      <c r="L56" s="17"/>
      <c r="M56" s="6">
        <v>60</v>
      </c>
      <c r="N56" s="13"/>
      <c r="O56" s="13">
        <v>-7</v>
      </c>
      <c r="P56" s="13"/>
      <c r="Q56" s="5"/>
      <c r="R56" s="5"/>
      <c r="S56" s="5">
        <v>5.9</v>
      </c>
      <c r="T56" s="5">
        <v>3.06</v>
      </c>
      <c r="U56" s="5"/>
      <c r="V56" s="5"/>
      <c r="W56" s="5">
        <v>1.93</v>
      </c>
      <c r="X56" s="19"/>
      <c r="Y56" s="41">
        <f>AA56*(1.029-(0.05*Z56/G58))</f>
        <v>2.7831999999999995</v>
      </c>
      <c r="Z56" s="5">
        <v>6.3</v>
      </c>
      <c r="AA56" s="5">
        <v>2.8</v>
      </c>
      <c r="AB56" s="5">
        <v>6.3</v>
      </c>
      <c r="AC56" s="5">
        <v>1.86</v>
      </c>
      <c r="AD56" s="13"/>
      <c r="AE56" s="13" t="s">
        <v>40</v>
      </c>
      <c r="AF56" s="7">
        <v>9</v>
      </c>
      <c r="AG56" s="7">
        <v>2.15</v>
      </c>
      <c r="AH56" s="7">
        <f t="shared" si="2"/>
        <v>4.1860465116279073</v>
      </c>
    </row>
    <row r="57" spans="1:34" x14ac:dyDescent="0.4">
      <c r="A57" s="3"/>
      <c r="C57" s="2">
        <v>2</v>
      </c>
      <c r="D57" s="2"/>
      <c r="E57" s="5"/>
      <c r="F57" s="5"/>
      <c r="G57" s="5">
        <v>7</v>
      </c>
      <c r="H57" s="5">
        <v>2.06</v>
      </c>
      <c r="I57" s="5"/>
      <c r="J57" s="5"/>
      <c r="K57" s="5">
        <v>3.4</v>
      </c>
      <c r="L57" s="17"/>
      <c r="M57" s="6">
        <v>60</v>
      </c>
      <c r="N57" s="13"/>
      <c r="O57" s="13">
        <v>2</v>
      </c>
      <c r="P57" s="13"/>
      <c r="Q57" s="5"/>
      <c r="R57" s="5"/>
      <c r="S57" s="5">
        <v>6.3</v>
      </c>
      <c r="T57" s="5">
        <v>2.92</v>
      </c>
      <c r="U57" s="5"/>
      <c r="V57" s="5"/>
      <c r="W57" s="5">
        <v>2.16</v>
      </c>
      <c r="X57" s="19"/>
      <c r="Y57" s="41">
        <f>AA57*(0.906-(0.044*Z57/G58))</f>
        <v>4.4637337777777777</v>
      </c>
      <c r="Z57" s="5">
        <v>3.8</v>
      </c>
      <c r="AA57" s="5">
        <v>5.03</v>
      </c>
      <c r="AB57" s="5">
        <v>3.8</v>
      </c>
      <c r="AC57" s="5">
        <v>3.33</v>
      </c>
      <c r="AD57" s="13"/>
      <c r="AE57" s="13"/>
      <c r="AF57" s="13"/>
      <c r="AG57" s="13"/>
      <c r="AH57" s="15"/>
    </row>
    <row r="58" spans="1:34" x14ac:dyDescent="0.4">
      <c r="A58" s="3"/>
      <c r="C58" s="2">
        <v>7</v>
      </c>
      <c r="D58" s="2"/>
      <c r="E58" s="5"/>
      <c r="F58" s="5"/>
      <c r="G58" s="5">
        <v>9</v>
      </c>
      <c r="H58" s="5">
        <v>2.0099999999999998</v>
      </c>
      <c r="I58" s="5"/>
      <c r="J58" s="5"/>
      <c r="K58" s="5">
        <v>4.4800000000000004</v>
      </c>
      <c r="L58" s="17"/>
      <c r="M58" s="6">
        <v>60</v>
      </c>
      <c r="N58" s="13"/>
      <c r="O58" s="13">
        <v>7</v>
      </c>
      <c r="P58" s="13"/>
      <c r="Q58" s="5"/>
      <c r="R58" s="5"/>
      <c r="S58" s="5">
        <v>8.9499999999999993</v>
      </c>
      <c r="T58" s="5">
        <v>3.22</v>
      </c>
      <c r="U58" s="5"/>
      <c r="V58" s="5"/>
      <c r="W58" s="5">
        <v>2.78</v>
      </c>
      <c r="X58" s="19"/>
      <c r="Y58" s="41">
        <f>K58</f>
        <v>4.4800000000000004</v>
      </c>
      <c r="Z58" s="5">
        <v>3</v>
      </c>
      <c r="AA58" s="5">
        <v>6.56</v>
      </c>
      <c r="AB58" s="5">
        <v>2.7</v>
      </c>
      <c r="AC58" s="5">
        <v>4.5199999999999996</v>
      </c>
      <c r="AD58" s="13"/>
      <c r="AE58" s="13"/>
      <c r="AF58" s="13"/>
      <c r="AG58" s="13"/>
      <c r="AH58" s="15"/>
    </row>
    <row r="59" spans="1:34" x14ac:dyDescent="0.4">
      <c r="A59" s="3"/>
      <c r="C59" s="2">
        <v>12</v>
      </c>
      <c r="D59" s="2"/>
      <c r="E59" s="5"/>
      <c r="F59" s="5"/>
      <c r="G59" s="26"/>
      <c r="H59" s="26"/>
      <c r="I59" s="24"/>
      <c r="J59" s="24"/>
      <c r="K59" s="26"/>
      <c r="L59" s="17"/>
      <c r="M59" s="6">
        <v>60</v>
      </c>
      <c r="N59" s="13"/>
      <c r="O59" s="13">
        <v>12</v>
      </c>
      <c r="P59" s="13"/>
      <c r="Q59" s="5"/>
      <c r="R59" s="5"/>
      <c r="S59" s="26"/>
      <c r="T59" s="26"/>
      <c r="U59" s="24"/>
      <c r="V59" s="24"/>
      <c r="W59" s="26"/>
      <c r="X59" s="19"/>
      <c r="Y59" s="40"/>
      <c r="Z59" s="5">
        <v>3.4</v>
      </c>
      <c r="AA59" s="5">
        <v>8.4700000000000006</v>
      </c>
      <c r="AB59" s="5">
        <v>3.3</v>
      </c>
      <c r="AC59" s="5">
        <v>6.26</v>
      </c>
      <c r="AD59" s="13"/>
      <c r="AE59" s="13"/>
      <c r="AF59" s="13"/>
      <c r="AG59" s="13"/>
      <c r="AH59" s="15"/>
    </row>
    <row r="60" spans="1:34" s="1" customFormat="1" x14ac:dyDescent="0.4">
      <c r="A60" s="8"/>
      <c r="B60" s="8"/>
      <c r="C60" s="9"/>
      <c r="D60" s="9"/>
      <c r="E60" s="18"/>
      <c r="F60" s="18"/>
      <c r="G60" s="31"/>
      <c r="H60" s="31"/>
      <c r="I60" s="31"/>
      <c r="J60" s="31"/>
      <c r="K60" s="31"/>
      <c r="L60" s="18"/>
      <c r="M60" s="18"/>
      <c r="N60" s="14"/>
      <c r="O60" s="14"/>
      <c r="P60" s="14"/>
      <c r="Q60" s="18"/>
      <c r="R60" s="22"/>
      <c r="S60" s="31"/>
      <c r="T60" s="31"/>
      <c r="U60" s="31"/>
      <c r="V60" s="31"/>
      <c r="W60" s="31"/>
      <c r="X60" s="14"/>
      <c r="Y60" s="42"/>
      <c r="Z60" s="22"/>
      <c r="AA60" s="22"/>
      <c r="AB60" s="22"/>
      <c r="AC60" s="22"/>
      <c r="AD60" s="14"/>
      <c r="AE60" s="14"/>
      <c r="AF60" s="30"/>
      <c r="AG60" s="30"/>
      <c r="AH60" s="30"/>
    </row>
    <row r="61" spans="1:34" s="1" customFormat="1" x14ac:dyDescent="0.4">
      <c r="A61" s="3" t="s">
        <v>69</v>
      </c>
      <c r="B61" s="1" t="s">
        <v>71</v>
      </c>
      <c r="C61" s="45">
        <v>-20</v>
      </c>
      <c r="D61" s="2"/>
      <c r="E61" s="5"/>
      <c r="F61" s="5"/>
      <c r="G61" s="5">
        <v>6.2</v>
      </c>
      <c r="H61" s="5">
        <v>3</v>
      </c>
      <c r="I61" s="5"/>
      <c r="J61" s="5"/>
      <c r="K61" s="5">
        <v>2.0699999999999998</v>
      </c>
      <c r="L61" s="17"/>
      <c r="M61" s="6">
        <v>55</v>
      </c>
      <c r="N61" s="13"/>
      <c r="O61" s="45">
        <v>-20</v>
      </c>
      <c r="P61" s="13"/>
      <c r="Q61" s="5"/>
      <c r="R61" s="5"/>
      <c r="S61" s="5">
        <v>4.2300000000000004</v>
      </c>
      <c r="T61" s="5">
        <v>3.33</v>
      </c>
      <c r="U61" s="5"/>
      <c r="V61" s="5"/>
      <c r="W61" s="5">
        <v>1.27</v>
      </c>
      <c r="X61" s="4">
        <v>3</v>
      </c>
      <c r="Y61" s="40"/>
      <c r="Z61" s="5"/>
      <c r="AA61" s="5"/>
      <c r="AB61" s="5"/>
      <c r="AC61" s="5"/>
      <c r="AD61" s="13"/>
      <c r="AE61" s="13" t="s">
        <v>37</v>
      </c>
      <c r="AF61" s="7">
        <v>8.1999999999999993</v>
      </c>
      <c r="AG61" s="7">
        <v>3.02</v>
      </c>
      <c r="AH61" s="7">
        <f>AF61/AG61</f>
        <v>2.7152317880794699</v>
      </c>
    </row>
    <row r="62" spans="1:34" s="1" customFormat="1" x14ac:dyDescent="0.4">
      <c r="A62" s="46"/>
      <c r="C62" s="2">
        <v>-15</v>
      </c>
      <c r="D62" s="2"/>
      <c r="E62" s="5"/>
      <c r="F62" s="5"/>
      <c r="G62" s="5">
        <v>7.4</v>
      </c>
      <c r="H62" s="5">
        <v>3.2</v>
      </c>
      <c r="I62" s="5"/>
      <c r="J62" s="5"/>
      <c r="K62" s="5">
        <v>2.31</v>
      </c>
      <c r="L62" s="17"/>
      <c r="M62" s="6">
        <v>55</v>
      </c>
      <c r="N62" s="13"/>
      <c r="O62" s="13">
        <v>-15</v>
      </c>
      <c r="P62" s="13"/>
      <c r="Q62" s="5"/>
      <c r="R62" s="5"/>
      <c r="S62" s="5">
        <v>5.2</v>
      </c>
      <c r="T62" s="5">
        <v>3.42</v>
      </c>
      <c r="U62" s="5"/>
      <c r="V62" s="5"/>
      <c r="W62" s="5">
        <v>1.52</v>
      </c>
      <c r="X62" s="13"/>
      <c r="Y62" s="40"/>
      <c r="Z62" s="5"/>
      <c r="AA62" s="5"/>
      <c r="AB62" s="5"/>
      <c r="AC62" s="5"/>
      <c r="AD62" s="13"/>
      <c r="AE62" s="13"/>
      <c r="AF62" s="7"/>
      <c r="AG62" s="7"/>
      <c r="AH62" s="7"/>
    </row>
    <row r="63" spans="1:34" s="1" customFormat="1" x14ac:dyDescent="0.4">
      <c r="A63" s="3"/>
      <c r="C63" s="2">
        <v>-10</v>
      </c>
      <c r="D63" s="2"/>
      <c r="E63" s="5"/>
      <c r="F63" s="5"/>
      <c r="G63" s="29"/>
      <c r="H63" s="29"/>
      <c r="I63" s="5"/>
      <c r="J63" s="5"/>
      <c r="K63" s="29"/>
      <c r="L63" s="17"/>
      <c r="M63" s="6">
        <v>60</v>
      </c>
      <c r="N63" s="13"/>
      <c r="O63" s="13">
        <v>-10</v>
      </c>
      <c r="P63" s="13"/>
      <c r="Q63" s="5"/>
      <c r="R63" s="5"/>
      <c r="S63" s="29"/>
      <c r="T63" s="29"/>
      <c r="U63" s="5"/>
      <c r="V63" s="5"/>
      <c r="W63" s="29"/>
      <c r="X63" s="13"/>
      <c r="Y63" s="40" t="s">
        <v>39</v>
      </c>
      <c r="Z63" s="5">
        <v>7</v>
      </c>
      <c r="AA63" s="5">
        <v>2.6</v>
      </c>
      <c r="AB63" s="5">
        <v>6.2</v>
      </c>
      <c r="AC63" s="5">
        <v>1.7</v>
      </c>
      <c r="AD63" s="13"/>
      <c r="AE63" s="13" t="s">
        <v>38</v>
      </c>
      <c r="AF63" s="7">
        <v>9.9</v>
      </c>
      <c r="AG63" s="7">
        <v>3.02</v>
      </c>
      <c r="AH63" s="7">
        <f t="shared" ref="AH63:AH64" si="3">AF63/AG63</f>
        <v>3.2781456953642385</v>
      </c>
    </row>
    <row r="64" spans="1:34" s="1" customFormat="1" x14ac:dyDescent="0.4">
      <c r="A64" s="3"/>
      <c r="C64" s="2">
        <v>-7</v>
      </c>
      <c r="D64" s="2"/>
      <c r="E64" s="5"/>
      <c r="F64" s="5"/>
      <c r="G64" s="5">
        <v>6.12</v>
      </c>
      <c r="H64" s="5">
        <v>2.2000000000000002</v>
      </c>
      <c r="I64" s="5"/>
      <c r="J64" s="5"/>
      <c r="K64" s="5">
        <v>2.78</v>
      </c>
      <c r="L64" s="17"/>
      <c r="M64" s="6">
        <v>60</v>
      </c>
      <c r="N64" s="13"/>
      <c r="O64" s="13">
        <v>-7</v>
      </c>
      <c r="P64" s="13"/>
      <c r="Q64" s="5"/>
      <c r="R64" s="5"/>
      <c r="S64" s="5">
        <v>5.9</v>
      </c>
      <c r="T64" s="5">
        <v>3.06</v>
      </c>
      <c r="U64" s="5"/>
      <c r="V64" s="5"/>
      <c r="W64" s="5">
        <v>1.93</v>
      </c>
      <c r="X64" s="19"/>
      <c r="Y64" s="41">
        <f>AA64*(1.029-(0.05*Z64/G66))</f>
        <v>2.7831999999999995</v>
      </c>
      <c r="Z64" s="5">
        <v>6.3</v>
      </c>
      <c r="AA64" s="5">
        <v>2.8</v>
      </c>
      <c r="AB64" s="5">
        <v>6.3</v>
      </c>
      <c r="AC64" s="5">
        <v>1.86</v>
      </c>
      <c r="AD64" s="13"/>
      <c r="AE64" s="13" t="s">
        <v>40</v>
      </c>
      <c r="AF64" s="7">
        <v>9</v>
      </c>
      <c r="AG64" s="7">
        <v>2.15</v>
      </c>
      <c r="AH64" s="7">
        <f t="shared" si="3"/>
        <v>4.1860465116279073</v>
      </c>
    </row>
    <row r="65" spans="1:34" s="1" customFormat="1" x14ac:dyDescent="0.4">
      <c r="A65" s="3"/>
      <c r="C65" s="2">
        <v>2</v>
      </c>
      <c r="D65" s="2"/>
      <c r="E65" s="5"/>
      <c r="F65" s="5"/>
      <c r="G65" s="5">
        <v>7</v>
      </c>
      <c r="H65" s="5">
        <v>2.06</v>
      </c>
      <c r="I65" s="5"/>
      <c r="J65" s="5"/>
      <c r="K65" s="5">
        <v>3.4</v>
      </c>
      <c r="L65" s="17"/>
      <c r="M65" s="6">
        <v>60</v>
      </c>
      <c r="N65" s="13"/>
      <c r="O65" s="13">
        <v>2</v>
      </c>
      <c r="P65" s="13"/>
      <c r="Q65" s="5"/>
      <c r="R65" s="5"/>
      <c r="S65" s="5">
        <v>6.3</v>
      </c>
      <c r="T65" s="5">
        <v>2.92</v>
      </c>
      <c r="U65" s="5"/>
      <c r="V65" s="5"/>
      <c r="W65" s="5">
        <v>2.16</v>
      </c>
      <c r="X65" s="19"/>
      <c r="Y65" s="41">
        <f>AA65*(0.906-(0.044*Z65/G66))</f>
        <v>4.4637337777777777</v>
      </c>
      <c r="Z65" s="5">
        <v>3.8</v>
      </c>
      <c r="AA65" s="5">
        <v>5.03</v>
      </c>
      <c r="AB65" s="5">
        <v>3.8</v>
      </c>
      <c r="AC65" s="5">
        <v>3.33</v>
      </c>
      <c r="AD65" s="13"/>
      <c r="AE65" s="13"/>
      <c r="AF65" s="13"/>
      <c r="AG65" s="13"/>
      <c r="AH65" s="15"/>
    </row>
    <row r="66" spans="1:34" s="1" customFormat="1" x14ac:dyDescent="0.4">
      <c r="A66" s="3"/>
      <c r="C66" s="2">
        <v>7</v>
      </c>
      <c r="D66" s="2"/>
      <c r="E66" s="5"/>
      <c r="F66" s="5"/>
      <c r="G66" s="5">
        <v>9</v>
      </c>
      <c r="H66" s="5">
        <v>2.0099999999999998</v>
      </c>
      <c r="I66" s="5"/>
      <c r="J66" s="5"/>
      <c r="K66" s="5">
        <v>4.4800000000000004</v>
      </c>
      <c r="L66" s="17"/>
      <c r="M66" s="6">
        <v>60</v>
      </c>
      <c r="N66" s="13"/>
      <c r="O66" s="13">
        <v>7</v>
      </c>
      <c r="P66" s="13"/>
      <c r="Q66" s="5"/>
      <c r="R66" s="5"/>
      <c r="S66" s="5">
        <v>8.9499999999999993</v>
      </c>
      <c r="T66" s="5">
        <v>3.22</v>
      </c>
      <c r="U66" s="5"/>
      <c r="V66" s="5"/>
      <c r="W66" s="5">
        <v>2.78</v>
      </c>
      <c r="X66" s="19"/>
      <c r="Y66" s="41">
        <f>K66</f>
        <v>4.4800000000000004</v>
      </c>
      <c r="Z66" s="5">
        <v>3</v>
      </c>
      <c r="AA66" s="5">
        <v>6.56</v>
      </c>
      <c r="AB66" s="5">
        <v>2.7</v>
      </c>
      <c r="AC66" s="5">
        <v>4.5199999999999996</v>
      </c>
      <c r="AD66" s="13"/>
      <c r="AE66" s="13"/>
      <c r="AF66" s="13"/>
      <c r="AG66" s="13"/>
      <c r="AH66" s="15"/>
    </row>
    <row r="67" spans="1:34" s="1" customFormat="1" x14ac:dyDescent="0.4">
      <c r="A67" s="3"/>
      <c r="C67" s="2">
        <v>12</v>
      </c>
      <c r="D67" s="2"/>
      <c r="E67" s="5"/>
      <c r="F67" s="5"/>
      <c r="G67" s="26"/>
      <c r="H67" s="26"/>
      <c r="I67" s="24"/>
      <c r="J67" s="24"/>
      <c r="K67" s="26"/>
      <c r="L67" s="17"/>
      <c r="M67" s="6">
        <v>60</v>
      </c>
      <c r="N67" s="13"/>
      <c r="O67" s="13">
        <v>12</v>
      </c>
      <c r="P67" s="13"/>
      <c r="Q67" s="5"/>
      <c r="R67" s="5"/>
      <c r="S67" s="26"/>
      <c r="T67" s="26"/>
      <c r="U67" s="24"/>
      <c r="V67" s="24"/>
      <c r="W67" s="26"/>
      <c r="X67" s="19"/>
      <c r="Y67" s="40"/>
      <c r="Z67" s="5">
        <v>3.4</v>
      </c>
      <c r="AA67" s="5">
        <v>8.4700000000000006</v>
      </c>
      <c r="AB67" s="5">
        <v>3.3</v>
      </c>
      <c r="AC67" s="5">
        <v>6.26</v>
      </c>
      <c r="AD67" s="13"/>
      <c r="AE67" s="13"/>
      <c r="AF67" s="13"/>
      <c r="AG67" s="13"/>
      <c r="AH67" s="15"/>
    </row>
    <row r="68" spans="1:34" s="1" customFormat="1" x14ac:dyDescent="0.4">
      <c r="A68" s="8"/>
      <c r="B68" s="8"/>
      <c r="C68" s="9"/>
      <c r="D68" s="9"/>
      <c r="E68" s="18"/>
      <c r="F68" s="18"/>
      <c r="G68" s="31"/>
      <c r="H68" s="31"/>
      <c r="I68" s="31"/>
      <c r="J68" s="31"/>
      <c r="K68" s="31"/>
      <c r="L68" s="18"/>
      <c r="M68" s="30"/>
      <c r="N68" s="14"/>
      <c r="O68" s="14"/>
      <c r="P68" s="14"/>
      <c r="Q68" s="18"/>
      <c r="R68" s="22"/>
      <c r="S68" s="31"/>
      <c r="T68" s="31"/>
      <c r="U68" s="31"/>
      <c r="V68" s="31"/>
      <c r="W68" s="31"/>
      <c r="X68" s="14"/>
      <c r="Y68" s="32"/>
      <c r="Z68" s="31"/>
      <c r="AA68" s="31"/>
      <c r="AB68" s="31"/>
      <c r="AC68" s="31"/>
      <c r="AD68" s="14"/>
      <c r="AE68" s="14"/>
      <c r="AF68" s="30"/>
      <c r="AG68" s="30"/>
      <c r="AH68" s="30"/>
    </row>
    <row r="70" spans="1:34" x14ac:dyDescent="0.4">
      <c r="A70" s="47" t="s">
        <v>41</v>
      </c>
    </row>
    <row r="71" spans="1:34" x14ac:dyDescent="0.4">
      <c r="A71" t="s">
        <v>86</v>
      </c>
    </row>
    <row r="72" spans="1:34" x14ac:dyDescent="0.4">
      <c r="A72" t="s">
        <v>87</v>
      </c>
    </row>
    <row r="73" spans="1:34" x14ac:dyDescent="0.4">
      <c r="A73"/>
    </row>
    <row r="74" spans="1:34" x14ac:dyDescent="0.4">
      <c r="A74" t="s">
        <v>88</v>
      </c>
    </row>
    <row r="75" spans="1:34" x14ac:dyDescent="0.4">
      <c r="A75" t="s">
        <v>89</v>
      </c>
    </row>
    <row r="76" spans="1:34" x14ac:dyDescent="0.4">
      <c r="A76"/>
    </row>
    <row r="77" spans="1:34" x14ac:dyDescent="0.4">
      <c r="A77" t="s">
        <v>90</v>
      </c>
    </row>
    <row r="78" spans="1:34" x14ac:dyDescent="0.4">
      <c r="A78" t="s">
        <v>91</v>
      </c>
    </row>
    <row r="79" spans="1:34" x14ac:dyDescent="0.4">
      <c r="A79"/>
    </row>
    <row r="80" spans="1:34" x14ac:dyDescent="0.4">
      <c r="A80" t="s">
        <v>92</v>
      </c>
    </row>
    <row r="81" spans="1:1" x14ac:dyDescent="0.4">
      <c r="A81" t="s">
        <v>93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86D6-0108-4524-8CF0-986B8F365D66}">
  <sheetPr>
    <tabColor theme="7"/>
  </sheetPr>
  <dimension ref="A1:AL38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29" sqref="M29:M35"/>
    </sheetView>
  </sheetViews>
  <sheetFormatPr baseColWidth="10" defaultColWidth="11.4609375" defaultRowHeight="14.6" outlineLevelRow="1" x14ac:dyDescent="0.4"/>
  <cols>
    <col min="1" max="1" width="19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14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8" x14ac:dyDescent="0.4">
      <c r="C1" s="1" t="s">
        <v>17</v>
      </c>
    </row>
    <row r="2" spans="1:38" x14ac:dyDescent="0.4">
      <c r="C2" s="1" t="s">
        <v>18</v>
      </c>
      <c r="O2" s="1" t="s">
        <v>19</v>
      </c>
      <c r="AF2" s="1"/>
    </row>
    <row r="3" spans="1:38" s="1" customFormat="1" ht="58.3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8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8" x14ac:dyDescent="0.4">
      <c r="A5" s="3" t="s">
        <v>70</v>
      </c>
      <c r="B5" s="1" t="s">
        <v>65</v>
      </c>
      <c r="C5" s="45">
        <v>-20</v>
      </c>
      <c r="D5" s="2"/>
      <c r="E5" s="35"/>
      <c r="F5" s="5"/>
      <c r="G5" s="5">
        <v>2.52</v>
      </c>
      <c r="H5" s="5">
        <v>1.31</v>
      </c>
      <c r="I5" s="5"/>
      <c r="J5" s="5"/>
      <c r="K5" s="5">
        <f>G5/H5</f>
        <v>1.9236641221374045</v>
      </c>
      <c r="L5" s="17"/>
      <c r="M5" s="6">
        <v>55</v>
      </c>
      <c r="N5" s="13"/>
      <c r="O5" s="45">
        <v>-20</v>
      </c>
      <c r="P5" s="13"/>
      <c r="Q5" s="5"/>
      <c r="R5" s="5"/>
      <c r="S5" s="5">
        <v>2.12</v>
      </c>
      <c r="T5" s="5">
        <v>1.8</v>
      </c>
      <c r="U5" s="5"/>
      <c r="V5" s="5"/>
      <c r="W5" s="5">
        <v>1.18</v>
      </c>
      <c r="X5" s="4">
        <v>3</v>
      </c>
      <c r="Y5" s="25"/>
      <c r="Z5" s="24"/>
      <c r="AA5" s="24"/>
      <c r="AB5" s="24"/>
      <c r="AC5" s="24"/>
      <c r="AD5" s="13"/>
      <c r="AE5" s="13" t="s">
        <v>37</v>
      </c>
      <c r="AF5" s="7">
        <v>3.2</v>
      </c>
      <c r="AG5" s="7">
        <v>0.91</v>
      </c>
      <c r="AH5" s="7">
        <f>AF5/AG5</f>
        <v>3.5164835164835164</v>
      </c>
    </row>
    <row r="6" spans="1:38" outlineLevel="1" x14ac:dyDescent="0.4">
      <c r="A6" s="12" t="s">
        <v>60</v>
      </c>
      <c r="C6" s="2">
        <v>-15</v>
      </c>
      <c r="D6" s="2"/>
      <c r="E6" s="35"/>
      <c r="F6" s="5"/>
      <c r="G6" s="5">
        <v>3.2</v>
      </c>
      <c r="H6" s="5">
        <v>1.37</v>
      </c>
      <c r="I6" s="5"/>
      <c r="J6" s="5"/>
      <c r="K6" s="5">
        <f t="shared" ref="K6:K10" si="0">G6/H6</f>
        <v>2.335766423357664</v>
      </c>
      <c r="L6" s="17"/>
      <c r="M6" s="6">
        <v>55</v>
      </c>
      <c r="N6" s="13"/>
      <c r="O6" s="13">
        <v>-15</v>
      </c>
      <c r="P6" s="13"/>
      <c r="Q6" s="5"/>
      <c r="R6" s="5"/>
      <c r="S6" s="5">
        <v>2.75</v>
      </c>
      <c r="T6" s="5">
        <v>1.92</v>
      </c>
      <c r="U6" s="5"/>
      <c r="V6" s="5"/>
      <c r="W6" s="5">
        <v>1.43</v>
      </c>
      <c r="X6" s="13"/>
      <c r="Y6" s="25"/>
      <c r="Z6" s="24"/>
      <c r="AA6" s="24"/>
      <c r="AB6" s="24"/>
      <c r="AC6" s="24"/>
      <c r="AD6" s="13"/>
      <c r="AE6" s="13"/>
      <c r="AF6" s="43"/>
      <c r="AG6" s="43"/>
      <c r="AH6" s="43"/>
    </row>
    <row r="7" spans="1:38" x14ac:dyDescent="0.4">
      <c r="A7" s="3"/>
      <c r="C7" s="2">
        <v>-10</v>
      </c>
      <c r="D7" s="2"/>
      <c r="E7" s="35"/>
      <c r="F7" s="5"/>
      <c r="G7" s="29"/>
      <c r="H7" s="29"/>
      <c r="I7" s="5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29"/>
      <c r="T7" s="29"/>
      <c r="U7" s="5"/>
      <c r="V7" s="5"/>
      <c r="W7" s="29"/>
      <c r="X7" s="13"/>
      <c r="Y7" s="40" t="s">
        <v>39</v>
      </c>
      <c r="Z7" s="5">
        <v>4</v>
      </c>
      <c r="AA7" s="5">
        <v>2.6</v>
      </c>
      <c r="AB7" s="5">
        <v>2.9</v>
      </c>
      <c r="AC7" s="5">
        <v>1.66</v>
      </c>
      <c r="AD7" s="13"/>
      <c r="AE7" s="13" t="s">
        <v>38</v>
      </c>
      <c r="AF7" s="7">
        <v>3.56</v>
      </c>
      <c r="AG7" s="7">
        <v>0.93</v>
      </c>
      <c r="AH7" s="7">
        <v>3.83</v>
      </c>
    </row>
    <row r="8" spans="1:38" x14ac:dyDescent="0.4">
      <c r="A8" s="3"/>
      <c r="C8" s="2">
        <v>-7</v>
      </c>
      <c r="D8" s="2"/>
      <c r="E8" s="35"/>
      <c r="F8" s="5"/>
      <c r="G8" s="5">
        <v>3.3</v>
      </c>
      <c r="H8" s="5">
        <v>1.18</v>
      </c>
      <c r="I8" s="5"/>
      <c r="J8" s="5"/>
      <c r="K8" s="5">
        <f t="shared" si="0"/>
        <v>2.7966101694915255</v>
      </c>
      <c r="L8" s="17"/>
      <c r="M8" s="6">
        <v>60</v>
      </c>
      <c r="N8" s="13"/>
      <c r="O8" s="13">
        <v>-7</v>
      </c>
      <c r="P8" s="13"/>
      <c r="Q8" s="5"/>
      <c r="R8" s="5"/>
      <c r="S8" s="5">
        <v>3.2</v>
      </c>
      <c r="T8" s="5">
        <v>1.79</v>
      </c>
      <c r="U8" s="5"/>
      <c r="V8" s="5"/>
      <c r="W8" s="5">
        <v>1.79</v>
      </c>
      <c r="X8" s="13"/>
      <c r="Y8" s="41">
        <f>AA8*(1.029-(0.05*Z8/G10))</f>
        <v>2.7280749999999996</v>
      </c>
      <c r="Z8" s="5">
        <v>3.5</v>
      </c>
      <c r="AA8" s="5">
        <v>2.8</v>
      </c>
      <c r="AB8" s="5">
        <v>2.6</v>
      </c>
      <c r="AC8" s="5">
        <v>2.1800000000000002</v>
      </c>
      <c r="AD8" s="13"/>
      <c r="AE8" s="13" t="s">
        <v>40</v>
      </c>
      <c r="AF8" s="7">
        <v>3.2</v>
      </c>
      <c r="AG8" s="7">
        <v>0.68</v>
      </c>
      <c r="AH8" s="7">
        <v>4.71</v>
      </c>
    </row>
    <row r="9" spans="1:38" x14ac:dyDescent="0.4">
      <c r="A9" s="3"/>
      <c r="C9" s="2">
        <v>2</v>
      </c>
      <c r="D9" s="2"/>
      <c r="E9" s="35"/>
      <c r="F9" s="5"/>
      <c r="G9" s="5">
        <v>3.2</v>
      </c>
      <c r="H9" s="5">
        <v>0.88</v>
      </c>
      <c r="I9" s="5"/>
      <c r="J9" s="5"/>
      <c r="K9" s="5">
        <f t="shared" si="0"/>
        <v>3.6363636363636367</v>
      </c>
      <c r="L9" s="17"/>
      <c r="M9" s="6">
        <v>60</v>
      </c>
      <c r="N9" s="13"/>
      <c r="O9" s="13">
        <v>2</v>
      </c>
      <c r="P9" s="13"/>
      <c r="Q9" s="5"/>
      <c r="R9" s="5"/>
      <c r="S9" s="5">
        <v>3.2</v>
      </c>
      <c r="T9" s="5">
        <v>1.46</v>
      </c>
      <c r="U9" s="5"/>
      <c r="V9" s="5"/>
      <c r="W9" s="5">
        <v>2.19</v>
      </c>
      <c r="X9" s="13"/>
      <c r="Y9" s="41">
        <f>AA9*(0.906-(0.044*Z9/G10))</f>
        <v>4.5154899999999998</v>
      </c>
      <c r="Z9" s="5">
        <v>2</v>
      </c>
      <c r="AA9" s="5">
        <v>5.14</v>
      </c>
      <c r="AB9" s="5">
        <v>1.6</v>
      </c>
      <c r="AC9" s="5">
        <v>3.42</v>
      </c>
      <c r="AD9" s="13"/>
      <c r="AE9" s="13"/>
      <c r="AF9" s="13"/>
      <c r="AG9" s="13"/>
      <c r="AH9" s="15"/>
      <c r="AK9" s="23"/>
      <c r="AL9" s="23"/>
    </row>
    <row r="10" spans="1:38" x14ac:dyDescent="0.4">
      <c r="A10" s="3"/>
      <c r="C10" s="2">
        <v>7</v>
      </c>
      <c r="D10" s="2"/>
      <c r="E10" s="35"/>
      <c r="F10" s="5"/>
      <c r="G10" s="5">
        <v>3.2</v>
      </c>
      <c r="H10" s="5">
        <v>0.6</v>
      </c>
      <c r="I10" s="5"/>
      <c r="J10" s="5"/>
      <c r="K10" s="5">
        <f t="shared" si="0"/>
        <v>5.3333333333333339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3.2</v>
      </c>
      <c r="T10" s="5">
        <v>1.1399999999999999</v>
      </c>
      <c r="U10" s="5"/>
      <c r="V10" s="5"/>
      <c r="W10" s="5">
        <v>2.81</v>
      </c>
      <c r="X10" s="13"/>
      <c r="Y10" s="41">
        <f>K10</f>
        <v>5.3333333333333339</v>
      </c>
      <c r="Z10" s="5">
        <v>1.4</v>
      </c>
      <c r="AA10" s="5">
        <v>6.8</v>
      </c>
      <c r="AB10" s="5">
        <v>1.1000000000000001</v>
      </c>
      <c r="AC10" s="5">
        <v>4.43</v>
      </c>
      <c r="AD10" s="13"/>
      <c r="AE10" s="13"/>
      <c r="AF10" s="13"/>
      <c r="AG10" s="13"/>
      <c r="AH10" s="15"/>
    </row>
    <row r="11" spans="1:38" x14ac:dyDescent="0.4">
      <c r="A11" s="3"/>
      <c r="C11" s="2">
        <v>12</v>
      </c>
      <c r="D11" s="2"/>
      <c r="E11" s="35"/>
      <c r="F11" s="5"/>
      <c r="G11" s="29"/>
      <c r="H11" s="29"/>
      <c r="I11" s="5"/>
      <c r="J11" s="5"/>
      <c r="K11" s="29"/>
      <c r="L11" s="17"/>
      <c r="M11" s="6">
        <v>60</v>
      </c>
      <c r="N11" s="13"/>
      <c r="O11" s="13">
        <v>12</v>
      </c>
      <c r="P11" s="13"/>
      <c r="Q11" s="5"/>
      <c r="R11" s="5"/>
      <c r="S11" s="29"/>
      <c r="T11" s="29"/>
      <c r="U11" s="5"/>
      <c r="V11" s="5"/>
      <c r="W11" s="29"/>
      <c r="X11" s="13"/>
      <c r="Y11" s="40"/>
      <c r="Z11" s="5">
        <v>1.6</v>
      </c>
      <c r="AA11" s="5">
        <v>9.5</v>
      </c>
      <c r="AB11" s="5">
        <v>1.4</v>
      </c>
      <c r="AC11" s="5">
        <v>6.97</v>
      </c>
      <c r="AD11" s="13"/>
      <c r="AE11" s="13"/>
      <c r="AF11" s="13"/>
      <c r="AG11" s="13"/>
      <c r="AH11" s="15"/>
    </row>
    <row r="12" spans="1:38" x14ac:dyDescent="0.4">
      <c r="A12" s="8"/>
      <c r="B12" s="8"/>
      <c r="C12" s="9"/>
      <c r="D12" s="9"/>
      <c r="E12" s="18"/>
      <c r="F12" s="18"/>
      <c r="G12" s="22"/>
      <c r="H12" s="22"/>
      <c r="I12" s="22"/>
      <c r="J12" s="22"/>
      <c r="K12" s="22"/>
      <c r="L12" s="18"/>
      <c r="M12" s="18"/>
      <c r="N12" s="14"/>
      <c r="O12" s="14"/>
      <c r="P12" s="14"/>
      <c r="Q12" s="18"/>
      <c r="R12" s="22"/>
      <c r="S12" s="22"/>
      <c r="T12" s="22"/>
      <c r="U12" s="22"/>
      <c r="V12" s="22"/>
      <c r="W12" s="22"/>
      <c r="X12" s="14"/>
      <c r="Y12" s="42"/>
      <c r="Z12" s="22"/>
      <c r="AA12" s="22"/>
      <c r="AB12" s="22"/>
      <c r="AC12" s="22"/>
      <c r="AD12" s="14"/>
      <c r="AE12" s="14"/>
      <c r="AF12" s="14"/>
      <c r="AG12" s="14"/>
      <c r="AH12" s="14"/>
    </row>
    <row r="13" spans="1:38" x14ac:dyDescent="0.4">
      <c r="A13" s="3" t="s">
        <v>70</v>
      </c>
      <c r="B13" s="1" t="s">
        <v>64</v>
      </c>
      <c r="C13" s="45">
        <v>-20</v>
      </c>
      <c r="D13" s="2"/>
      <c r="E13" s="5"/>
      <c r="F13" s="5"/>
      <c r="G13" s="5">
        <v>3.51</v>
      </c>
      <c r="H13" s="5">
        <v>1.8</v>
      </c>
      <c r="I13" s="5"/>
      <c r="J13" s="5"/>
      <c r="K13" s="5">
        <f>G13/H13</f>
        <v>1.9499999999999997</v>
      </c>
      <c r="L13" s="17"/>
      <c r="M13" s="6">
        <v>55</v>
      </c>
      <c r="N13" s="13"/>
      <c r="O13" s="45">
        <v>-20</v>
      </c>
      <c r="P13" s="13"/>
      <c r="Q13" s="5"/>
      <c r="R13" s="5"/>
      <c r="S13" s="5">
        <v>2.46</v>
      </c>
      <c r="T13" s="5">
        <v>2.11</v>
      </c>
      <c r="U13" s="5"/>
      <c r="V13" s="5"/>
      <c r="W13" s="5">
        <f>S13/T13</f>
        <v>1.1658767772511849</v>
      </c>
      <c r="X13" s="4">
        <v>3</v>
      </c>
      <c r="Y13" s="40"/>
      <c r="Z13" s="5"/>
      <c r="AA13" s="5"/>
      <c r="AB13" s="5"/>
      <c r="AC13" s="5"/>
      <c r="AD13" s="13"/>
      <c r="AE13" s="13" t="s">
        <v>37</v>
      </c>
      <c r="AF13" s="7">
        <v>4.5</v>
      </c>
      <c r="AG13" s="7">
        <f>AF13/AH13</f>
        <v>1.5</v>
      </c>
      <c r="AH13" s="7">
        <v>3</v>
      </c>
      <c r="AI13" s="20"/>
    </row>
    <row r="14" spans="1:38" outlineLevel="1" x14ac:dyDescent="0.4">
      <c r="A14" s="12" t="s">
        <v>60</v>
      </c>
      <c r="C14" s="2">
        <v>-15</v>
      </c>
      <c r="D14" s="2"/>
      <c r="E14" s="5"/>
      <c r="F14" s="5"/>
      <c r="G14" s="29">
        <v>4.2</v>
      </c>
      <c r="H14" s="29">
        <v>1.93</v>
      </c>
      <c r="I14" s="5"/>
      <c r="J14" s="5"/>
      <c r="K14" s="5">
        <f t="shared" ref="K14:K18" si="1">G14/H14</f>
        <v>2.1761658031088085</v>
      </c>
      <c r="L14" s="17"/>
      <c r="M14" s="6">
        <v>55</v>
      </c>
      <c r="N14" s="13"/>
      <c r="O14" s="13">
        <v>-15</v>
      </c>
      <c r="P14" s="13"/>
      <c r="Q14" s="5"/>
      <c r="R14" s="5"/>
      <c r="S14" s="29">
        <v>3</v>
      </c>
      <c r="T14" s="29">
        <v>2.12</v>
      </c>
      <c r="U14" s="5"/>
      <c r="V14" s="5"/>
      <c r="W14" s="5">
        <f t="shared" ref="W14:W18" si="2">S14/T14</f>
        <v>1.4150943396226414</v>
      </c>
      <c r="X14" s="13"/>
      <c r="Y14" s="40"/>
      <c r="Z14" s="5"/>
      <c r="AA14" s="5"/>
      <c r="AB14" s="5"/>
      <c r="AC14" s="5"/>
      <c r="AD14" s="13"/>
      <c r="AE14" s="13"/>
      <c r="AF14" s="7"/>
      <c r="AG14" s="7"/>
      <c r="AH14" s="7"/>
      <c r="AI14" s="20"/>
    </row>
    <row r="15" spans="1:38" x14ac:dyDescent="0.4">
      <c r="A15" s="3"/>
      <c r="C15" s="2">
        <v>-10</v>
      </c>
      <c r="D15" s="2"/>
      <c r="E15" s="5"/>
      <c r="F15" s="5"/>
      <c r="G15" s="5"/>
      <c r="H15" s="5"/>
      <c r="I15" s="5"/>
      <c r="J15" s="5"/>
      <c r="K15" s="5"/>
      <c r="L15" s="17"/>
      <c r="M15" s="6">
        <v>60</v>
      </c>
      <c r="N15" s="13"/>
      <c r="O15" s="13">
        <v>-10</v>
      </c>
      <c r="P15" s="13"/>
      <c r="Q15" s="5"/>
      <c r="R15" s="5"/>
      <c r="S15" s="5"/>
      <c r="T15" s="5"/>
      <c r="U15" s="5"/>
      <c r="V15" s="5"/>
      <c r="W15" s="5"/>
      <c r="X15" s="13"/>
      <c r="Y15" s="40" t="s">
        <v>39</v>
      </c>
      <c r="Z15" s="5">
        <v>4.7</v>
      </c>
      <c r="AA15" s="5">
        <v>2.5</v>
      </c>
      <c r="AB15" s="5">
        <v>3.8</v>
      </c>
      <c r="AC15" s="5">
        <v>1.55</v>
      </c>
      <c r="AD15" s="13"/>
      <c r="AE15" s="13" t="s">
        <v>38</v>
      </c>
      <c r="AF15" s="29" t="s">
        <v>61</v>
      </c>
      <c r="AG15" s="29" t="s">
        <v>61</v>
      </c>
      <c r="AH15" s="29" t="s">
        <v>61</v>
      </c>
      <c r="AI15" s="20"/>
    </row>
    <row r="16" spans="1:38" x14ac:dyDescent="0.4">
      <c r="A16" s="3"/>
      <c r="C16" s="2">
        <v>-7</v>
      </c>
      <c r="D16" s="2"/>
      <c r="E16" s="5"/>
      <c r="F16" s="5"/>
      <c r="G16" s="5">
        <v>4.2</v>
      </c>
      <c r="H16" s="5">
        <v>1.62</v>
      </c>
      <c r="I16" s="5"/>
      <c r="J16" s="5"/>
      <c r="K16" s="5">
        <f t="shared" si="1"/>
        <v>2.5925925925925926</v>
      </c>
      <c r="L16" s="17"/>
      <c r="M16" s="6">
        <v>60</v>
      </c>
      <c r="N16" s="13"/>
      <c r="O16" s="13">
        <v>-7</v>
      </c>
      <c r="P16" s="13"/>
      <c r="Q16" s="5"/>
      <c r="R16" s="5"/>
      <c r="S16" s="5">
        <v>3.55</v>
      </c>
      <c r="T16" s="5">
        <v>2.08</v>
      </c>
      <c r="U16" s="5"/>
      <c r="V16" s="5"/>
      <c r="W16" s="5">
        <f t="shared" si="2"/>
        <v>1.7067307692307692</v>
      </c>
      <c r="X16" s="13"/>
      <c r="Y16" s="41">
        <f>AA16*(1.029-(0.05*Z16/G18))</f>
        <v>2.6254199999999996</v>
      </c>
      <c r="Z16" s="5">
        <v>4.2</v>
      </c>
      <c r="AA16" s="5">
        <v>2.66</v>
      </c>
      <c r="AB16" s="5">
        <v>3.4</v>
      </c>
      <c r="AC16" s="5">
        <v>1.93</v>
      </c>
      <c r="AD16" s="13"/>
      <c r="AE16" s="13" t="s">
        <v>40</v>
      </c>
      <c r="AF16" s="7">
        <v>4.8</v>
      </c>
      <c r="AG16" s="7">
        <f>AF16/AH16</f>
        <v>1.1188811188811187</v>
      </c>
      <c r="AH16" s="7">
        <v>4.29</v>
      </c>
      <c r="AI16" s="20"/>
    </row>
    <row r="17" spans="1:35" x14ac:dyDescent="0.4">
      <c r="A17" s="3"/>
      <c r="C17" s="2">
        <v>2</v>
      </c>
      <c r="D17" s="2"/>
      <c r="E17" s="5"/>
      <c r="F17" s="5"/>
      <c r="G17" s="5">
        <v>4.2</v>
      </c>
      <c r="H17" s="5">
        <v>1.32</v>
      </c>
      <c r="I17" s="5"/>
      <c r="J17" s="5"/>
      <c r="K17" s="5">
        <f t="shared" si="1"/>
        <v>3.1818181818181817</v>
      </c>
      <c r="L17" s="17"/>
      <c r="M17" s="6">
        <v>60</v>
      </c>
      <c r="N17" s="13"/>
      <c r="O17" s="13">
        <v>2</v>
      </c>
      <c r="P17" s="13"/>
      <c r="Q17" s="5"/>
      <c r="R17" s="5"/>
      <c r="S17" s="5">
        <v>4.0999999999999996</v>
      </c>
      <c r="T17" s="5">
        <v>2.06</v>
      </c>
      <c r="U17" s="5"/>
      <c r="V17" s="5"/>
      <c r="W17" s="5">
        <f t="shared" si="2"/>
        <v>1.9902912621359221</v>
      </c>
      <c r="X17" s="13"/>
      <c r="Y17" s="41">
        <f>AA17*(0.906-(0.044*Z17/G18))</f>
        <v>4.5526</v>
      </c>
      <c r="Z17" s="5">
        <v>2.5</v>
      </c>
      <c r="AA17" s="5">
        <v>5.15</v>
      </c>
      <c r="AB17" s="5">
        <v>2.1</v>
      </c>
      <c r="AC17" s="5">
        <v>3.48</v>
      </c>
      <c r="AD17" s="13"/>
      <c r="AE17" s="13"/>
      <c r="AF17" s="19"/>
      <c r="AG17" s="19"/>
      <c r="AH17" s="20"/>
      <c r="AI17" s="20"/>
    </row>
    <row r="18" spans="1:35" x14ac:dyDescent="0.4">
      <c r="A18" s="3"/>
      <c r="C18" s="2">
        <v>7</v>
      </c>
      <c r="D18" s="2"/>
      <c r="E18" s="5"/>
      <c r="F18" s="5"/>
      <c r="G18" s="5">
        <v>5</v>
      </c>
      <c r="H18" s="5">
        <v>1</v>
      </c>
      <c r="I18" s="5"/>
      <c r="J18" s="5"/>
      <c r="K18" s="5">
        <f t="shared" si="1"/>
        <v>5</v>
      </c>
      <c r="L18" s="17"/>
      <c r="M18" s="6">
        <v>60</v>
      </c>
      <c r="N18" s="13"/>
      <c r="O18" s="13">
        <v>7</v>
      </c>
      <c r="P18" s="13"/>
      <c r="Q18" s="5"/>
      <c r="R18" s="5"/>
      <c r="S18" s="5">
        <v>5</v>
      </c>
      <c r="T18" s="5">
        <v>1.84</v>
      </c>
      <c r="U18" s="5"/>
      <c r="V18" s="5"/>
      <c r="W18" s="5">
        <f t="shared" si="2"/>
        <v>2.7173913043478262</v>
      </c>
      <c r="X18" s="13"/>
      <c r="Y18" s="41">
        <f>K18</f>
        <v>5</v>
      </c>
      <c r="Z18" s="5">
        <v>1.7</v>
      </c>
      <c r="AA18" s="5">
        <v>6.95</v>
      </c>
      <c r="AB18" s="5">
        <v>1.4</v>
      </c>
      <c r="AC18" s="5">
        <v>4.5999999999999996</v>
      </c>
      <c r="AD18" s="13"/>
      <c r="AE18" s="13"/>
      <c r="AF18" s="34"/>
      <c r="AG18" s="34"/>
      <c r="AH18" s="33"/>
    </row>
    <row r="19" spans="1:35" x14ac:dyDescent="0.4">
      <c r="A19" s="3"/>
      <c r="C19" s="2">
        <v>12</v>
      </c>
      <c r="D19" s="2"/>
      <c r="E19" s="5"/>
      <c r="F19" s="5"/>
      <c r="G19" s="29"/>
      <c r="H19" s="29"/>
      <c r="I19" s="5"/>
      <c r="J19" s="5"/>
      <c r="K19" s="29"/>
      <c r="L19" s="17"/>
      <c r="M19" s="6">
        <v>60</v>
      </c>
      <c r="N19" s="13"/>
      <c r="O19" s="13">
        <v>12</v>
      </c>
      <c r="P19" s="13"/>
      <c r="Q19" s="5"/>
      <c r="R19" s="5"/>
      <c r="S19" s="29"/>
      <c r="T19" s="29"/>
      <c r="U19" s="5"/>
      <c r="V19" s="5"/>
      <c r="W19" s="29"/>
      <c r="X19" s="13"/>
      <c r="Y19" s="40"/>
      <c r="Z19" s="5">
        <v>1.6</v>
      </c>
      <c r="AA19" s="5">
        <v>9.4499999999999993</v>
      </c>
      <c r="AB19" s="5">
        <v>1.5</v>
      </c>
      <c r="AC19" s="5">
        <v>6.9</v>
      </c>
      <c r="AD19" s="13"/>
      <c r="AE19" s="13"/>
      <c r="AF19" s="34"/>
      <c r="AG19" s="34"/>
      <c r="AH19" s="33"/>
    </row>
    <row r="20" spans="1:35" x14ac:dyDescent="0.4">
      <c r="A20" s="8"/>
      <c r="B20" s="8"/>
      <c r="C20" s="9"/>
      <c r="D20" s="9"/>
      <c r="E20" s="18"/>
      <c r="F20" s="18"/>
      <c r="G20" s="22"/>
      <c r="H20" s="22"/>
      <c r="I20" s="22"/>
      <c r="J20" s="22"/>
      <c r="K20" s="22"/>
      <c r="L20" s="18"/>
      <c r="M20" s="18"/>
      <c r="N20" s="14"/>
      <c r="O20" s="14"/>
      <c r="P20" s="14"/>
      <c r="Q20" s="18"/>
      <c r="R20" s="22"/>
      <c r="S20" s="22"/>
      <c r="T20" s="22"/>
      <c r="U20" s="22"/>
      <c r="V20" s="22"/>
      <c r="W20" s="22"/>
      <c r="X20" s="14"/>
      <c r="Y20" s="42"/>
      <c r="Z20" s="22"/>
      <c r="AA20" s="22"/>
      <c r="AB20" s="22"/>
      <c r="AC20" s="22"/>
      <c r="AD20" s="14"/>
      <c r="AE20" s="14"/>
      <c r="AF20" s="30"/>
      <c r="AG20" s="30"/>
      <c r="AH20" s="30"/>
    </row>
    <row r="21" spans="1:35" x14ac:dyDescent="0.4">
      <c r="A21" s="3" t="s">
        <v>70</v>
      </c>
      <c r="B21" s="1" t="s">
        <v>63</v>
      </c>
      <c r="C21" s="45">
        <v>-20</v>
      </c>
      <c r="D21" s="2"/>
      <c r="E21" s="5"/>
      <c r="F21" s="5"/>
      <c r="G21" s="5">
        <v>3.98</v>
      </c>
      <c r="H21" s="5">
        <v>1.88</v>
      </c>
      <c r="I21" s="5"/>
      <c r="J21" s="5"/>
      <c r="K21" s="5">
        <f>G21/H21</f>
        <v>2.1170212765957448</v>
      </c>
      <c r="L21" s="17"/>
      <c r="M21" s="6">
        <v>55</v>
      </c>
      <c r="N21" s="13"/>
      <c r="O21" s="45">
        <v>-20</v>
      </c>
      <c r="P21" s="13"/>
      <c r="Q21" s="5"/>
      <c r="R21" s="5"/>
      <c r="S21" s="5">
        <v>3.3</v>
      </c>
      <c r="T21" s="5">
        <v>2.77</v>
      </c>
      <c r="U21" s="5"/>
      <c r="V21" s="5"/>
      <c r="W21" s="5">
        <f>S21/T21</f>
        <v>1.191335740072202</v>
      </c>
      <c r="X21" s="4">
        <v>3</v>
      </c>
      <c r="Y21" s="40"/>
      <c r="Z21" s="5"/>
      <c r="AA21" s="5"/>
      <c r="AB21" s="5"/>
      <c r="AC21" s="5"/>
      <c r="AD21" s="13"/>
      <c r="AE21" s="13" t="s">
        <v>37</v>
      </c>
      <c r="AF21" s="7">
        <v>6.7</v>
      </c>
      <c r="AG21" s="7">
        <v>2.21</v>
      </c>
      <c r="AH21" s="7">
        <f>AF21/AG21</f>
        <v>3.0316742081447967</v>
      </c>
      <c r="AI21" s="20"/>
    </row>
    <row r="22" spans="1:35" outlineLevel="1" x14ac:dyDescent="0.4">
      <c r="A22" s="12" t="s">
        <v>60</v>
      </c>
      <c r="C22" s="2">
        <v>-15</v>
      </c>
      <c r="D22" s="2"/>
      <c r="E22" s="5"/>
      <c r="F22" s="5"/>
      <c r="G22" s="5">
        <v>4.75</v>
      </c>
      <c r="H22" s="5">
        <v>2</v>
      </c>
      <c r="I22" s="5"/>
      <c r="J22" s="5"/>
      <c r="K22" s="5">
        <f t="shared" ref="K22:K26" si="3">G22/H22</f>
        <v>2.375</v>
      </c>
      <c r="L22" s="17"/>
      <c r="M22" s="6">
        <v>55</v>
      </c>
      <c r="N22" s="13"/>
      <c r="O22" s="13">
        <v>-15</v>
      </c>
      <c r="P22" s="13"/>
      <c r="Q22" s="5"/>
      <c r="R22" s="5"/>
      <c r="S22" s="5">
        <v>4.5</v>
      </c>
      <c r="T22" s="5">
        <v>2.96</v>
      </c>
      <c r="U22" s="5"/>
      <c r="V22" s="5"/>
      <c r="W22" s="5">
        <f t="shared" ref="W22:W26" si="4">S22/T22</f>
        <v>1.5202702702702704</v>
      </c>
      <c r="X22" s="13"/>
      <c r="Y22" s="40"/>
      <c r="Z22" s="5"/>
      <c r="AA22" s="5"/>
      <c r="AB22" s="5"/>
      <c r="AC22" s="5"/>
      <c r="AD22" s="13"/>
      <c r="AE22" s="13"/>
      <c r="AF22" s="7"/>
      <c r="AG22" s="7"/>
      <c r="AH22" s="7"/>
      <c r="AI22" s="20"/>
    </row>
    <row r="23" spans="1:35" x14ac:dyDescent="0.4">
      <c r="A23" s="3"/>
      <c r="C23" s="2">
        <v>-10</v>
      </c>
      <c r="D23" s="2"/>
      <c r="E23" s="5"/>
      <c r="F23" s="5"/>
      <c r="G23" s="29"/>
      <c r="H23" s="29"/>
      <c r="I23" s="5"/>
      <c r="J23" s="5"/>
      <c r="K23" s="5"/>
      <c r="L23" s="17"/>
      <c r="M23" s="6">
        <v>60</v>
      </c>
      <c r="N23" s="13"/>
      <c r="O23" s="13">
        <v>-10</v>
      </c>
      <c r="P23" s="13"/>
      <c r="Q23" s="5"/>
      <c r="R23" s="5"/>
      <c r="S23" s="29"/>
      <c r="T23" s="29"/>
      <c r="U23" s="5"/>
      <c r="V23" s="5"/>
      <c r="W23" s="5"/>
      <c r="X23" s="13"/>
      <c r="Y23" s="40" t="s">
        <v>39</v>
      </c>
      <c r="Z23" s="5">
        <v>6</v>
      </c>
      <c r="AA23" s="5">
        <v>2.95</v>
      </c>
      <c r="AB23" s="5">
        <v>6.2</v>
      </c>
      <c r="AC23" s="5">
        <v>1.7</v>
      </c>
      <c r="AD23" s="13"/>
      <c r="AE23" s="13" t="s">
        <v>38</v>
      </c>
      <c r="AF23" s="7">
        <v>8.19</v>
      </c>
      <c r="AG23" s="7">
        <v>2.42</v>
      </c>
      <c r="AH23" s="7">
        <f t="shared" ref="AH23:AH24" si="5">AF23/AG23</f>
        <v>3.384297520661157</v>
      </c>
      <c r="AI23" s="20"/>
    </row>
    <row r="24" spans="1:35" x14ac:dyDescent="0.4">
      <c r="A24" s="3"/>
      <c r="C24" s="2">
        <v>-7</v>
      </c>
      <c r="D24" s="2"/>
      <c r="E24" s="5"/>
      <c r="F24" s="5"/>
      <c r="G24" s="5">
        <v>5.6</v>
      </c>
      <c r="H24" s="5">
        <v>1.95</v>
      </c>
      <c r="I24" s="5"/>
      <c r="J24" s="5"/>
      <c r="K24" s="5">
        <f t="shared" si="3"/>
        <v>2.8717948717948718</v>
      </c>
      <c r="L24" s="17"/>
      <c r="M24" s="6">
        <v>60</v>
      </c>
      <c r="N24" s="13"/>
      <c r="O24" s="13">
        <v>-7</v>
      </c>
      <c r="P24" s="13"/>
      <c r="Q24" s="5"/>
      <c r="R24" s="5"/>
      <c r="S24" s="5">
        <v>5.25</v>
      </c>
      <c r="T24" s="5">
        <v>2.7</v>
      </c>
      <c r="U24" s="5"/>
      <c r="V24" s="5"/>
      <c r="W24" s="5">
        <f t="shared" si="4"/>
        <v>1.9444444444444444</v>
      </c>
      <c r="X24" s="19"/>
      <c r="Y24" s="41">
        <f>AA24*(1.029-(0.05*Z24/G26))</f>
        <v>3.0130742857142856</v>
      </c>
      <c r="Z24" s="5">
        <v>5.3</v>
      </c>
      <c r="AA24" s="5">
        <v>3.04</v>
      </c>
      <c r="AB24" s="5">
        <v>6.2</v>
      </c>
      <c r="AC24" s="5">
        <v>1.86</v>
      </c>
      <c r="AD24" s="13"/>
      <c r="AE24" s="13" t="s">
        <v>40</v>
      </c>
      <c r="AF24" s="7">
        <v>6.7</v>
      </c>
      <c r="AG24" s="7">
        <v>1.42</v>
      </c>
      <c r="AH24" s="7">
        <f t="shared" si="5"/>
        <v>4.71830985915493</v>
      </c>
      <c r="AI24" s="20"/>
    </row>
    <row r="25" spans="1:35" x14ac:dyDescent="0.4">
      <c r="A25" s="3"/>
      <c r="C25" s="2">
        <v>2</v>
      </c>
      <c r="D25" s="2"/>
      <c r="E25" s="5"/>
      <c r="F25" s="5"/>
      <c r="G25" s="5">
        <v>6.85</v>
      </c>
      <c r="H25" s="5">
        <v>2.0099999999999998</v>
      </c>
      <c r="I25" s="5"/>
      <c r="J25" s="5"/>
      <c r="K25" s="5">
        <f t="shared" si="3"/>
        <v>3.4079601990049753</v>
      </c>
      <c r="L25" s="17"/>
      <c r="M25" s="6">
        <v>60</v>
      </c>
      <c r="N25" s="13"/>
      <c r="O25" s="13">
        <v>2</v>
      </c>
      <c r="P25" s="13"/>
      <c r="Q25" s="5"/>
      <c r="R25" s="5"/>
      <c r="S25" s="5">
        <v>6.2</v>
      </c>
      <c r="T25" s="5">
        <v>2.8</v>
      </c>
      <c r="U25" s="5"/>
      <c r="V25" s="5"/>
      <c r="W25" s="5">
        <f t="shared" si="4"/>
        <v>2.2142857142857144</v>
      </c>
      <c r="X25" s="19"/>
      <c r="Y25" s="41">
        <f>AA25*(0.906-(0.044*Z25/G26))</f>
        <v>4.393993142857143</v>
      </c>
      <c r="Z25" s="5">
        <v>3.2</v>
      </c>
      <c r="AA25" s="5">
        <v>4.96</v>
      </c>
      <c r="AB25" s="5">
        <v>3.8</v>
      </c>
      <c r="AC25" s="5">
        <v>3.33</v>
      </c>
      <c r="AD25" s="13"/>
      <c r="AE25" s="13"/>
      <c r="AF25" s="19"/>
      <c r="AG25" s="19"/>
      <c r="AH25" s="20"/>
      <c r="AI25" s="20"/>
    </row>
    <row r="26" spans="1:35" x14ac:dyDescent="0.4">
      <c r="A26" s="3"/>
      <c r="C26" s="2">
        <v>7</v>
      </c>
      <c r="D26" s="2"/>
      <c r="E26" s="5"/>
      <c r="F26" s="5"/>
      <c r="G26" s="5">
        <v>7</v>
      </c>
      <c r="H26" s="5">
        <v>1.47</v>
      </c>
      <c r="I26" s="5"/>
      <c r="J26" s="5"/>
      <c r="K26" s="5">
        <f t="shared" si="3"/>
        <v>4.7619047619047619</v>
      </c>
      <c r="L26" s="17"/>
      <c r="M26" s="6">
        <v>60</v>
      </c>
      <c r="N26" s="13"/>
      <c r="O26" s="13">
        <v>7</v>
      </c>
      <c r="P26" s="13"/>
      <c r="Q26" s="5"/>
      <c r="R26" s="5"/>
      <c r="S26" s="5">
        <v>7</v>
      </c>
      <c r="T26" s="5">
        <v>2.48</v>
      </c>
      <c r="U26" s="5"/>
      <c r="V26" s="5"/>
      <c r="W26" s="5">
        <f t="shared" si="4"/>
        <v>2.8225806451612905</v>
      </c>
      <c r="X26" s="19"/>
      <c r="Y26" s="41">
        <f>K26</f>
        <v>4.7619047619047619</v>
      </c>
      <c r="Z26" s="5">
        <v>2.9</v>
      </c>
      <c r="AA26" s="5">
        <v>6.5</v>
      </c>
      <c r="AB26" s="5">
        <v>2.7</v>
      </c>
      <c r="AC26" s="5">
        <v>4.5199999999999996</v>
      </c>
      <c r="AD26" s="13"/>
      <c r="AE26" s="13"/>
      <c r="AF26" s="19"/>
      <c r="AG26" s="19"/>
      <c r="AH26" s="20"/>
      <c r="AI26" s="20"/>
    </row>
    <row r="27" spans="1:35" x14ac:dyDescent="0.4">
      <c r="A27" s="3"/>
      <c r="C27" s="2">
        <v>12</v>
      </c>
      <c r="D27" s="2"/>
      <c r="E27" s="5"/>
      <c r="F27" s="5"/>
      <c r="G27" s="29"/>
      <c r="H27" s="29"/>
      <c r="I27" s="5"/>
      <c r="J27" s="5"/>
      <c r="K27" s="29"/>
      <c r="L27" s="17"/>
      <c r="M27" s="6">
        <v>60</v>
      </c>
      <c r="N27" s="13"/>
      <c r="O27" s="13">
        <v>12</v>
      </c>
      <c r="P27" s="13"/>
      <c r="Q27" s="5"/>
      <c r="R27" s="5"/>
      <c r="S27" s="29"/>
      <c r="T27" s="29"/>
      <c r="U27" s="5"/>
      <c r="V27" s="5"/>
      <c r="W27" s="29"/>
      <c r="X27" s="19"/>
      <c r="Y27" s="40"/>
      <c r="Z27" s="5">
        <v>3.4</v>
      </c>
      <c r="AA27" s="5">
        <v>8.42</v>
      </c>
      <c r="AB27" s="5">
        <v>3.3</v>
      </c>
      <c r="AC27" s="5">
        <v>6.26</v>
      </c>
      <c r="AD27" s="13"/>
      <c r="AE27" s="13"/>
      <c r="AF27" s="34"/>
      <c r="AG27" s="34"/>
      <c r="AH27" s="33"/>
    </row>
    <row r="28" spans="1:35" s="1" customFormat="1" x14ac:dyDescent="0.4">
      <c r="A28" s="8"/>
      <c r="B28" s="8"/>
      <c r="C28" s="9"/>
      <c r="D28" s="9"/>
      <c r="E28" s="18"/>
      <c r="F28" s="18"/>
      <c r="G28" s="22"/>
      <c r="H28" s="22"/>
      <c r="I28" s="22"/>
      <c r="J28" s="22"/>
      <c r="K28" s="22"/>
      <c r="L28" s="18"/>
      <c r="M28" s="18"/>
      <c r="N28" s="14"/>
      <c r="O28" s="14"/>
      <c r="P28" s="14"/>
      <c r="Q28" s="18"/>
      <c r="R28" s="22"/>
      <c r="S28" s="22"/>
      <c r="T28" s="22"/>
      <c r="U28" s="22"/>
      <c r="V28" s="22"/>
      <c r="W28" s="22"/>
      <c r="X28" s="14"/>
      <c r="Y28" s="42"/>
      <c r="Z28" s="22"/>
      <c r="AA28" s="22"/>
      <c r="AB28" s="22"/>
      <c r="AC28" s="22"/>
      <c r="AD28" s="14"/>
      <c r="AE28" s="14"/>
      <c r="AF28" s="30"/>
      <c r="AG28" s="30"/>
      <c r="AH28" s="30"/>
    </row>
    <row r="29" spans="1:35" s="1" customFormat="1" x14ac:dyDescent="0.4">
      <c r="A29" s="3" t="s">
        <v>70</v>
      </c>
      <c r="B29" s="1" t="s">
        <v>71</v>
      </c>
      <c r="C29" s="45">
        <v>-20</v>
      </c>
      <c r="D29" s="2"/>
      <c r="E29" s="5"/>
      <c r="F29" s="5"/>
      <c r="G29" s="5">
        <v>6.2</v>
      </c>
      <c r="H29" s="5">
        <v>3</v>
      </c>
      <c r="I29" s="5"/>
      <c r="J29" s="5"/>
      <c r="K29" s="5">
        <f>G29/H29</f>
        <v>2.0666666666666669</v>
      </c>
      <c r="L29" s="17"/>
      <c r="M29" s="6">
        <v>60</v>
      </c>
      <c r="N29" s="13"/>
      <c r="O29" s="45">
        <v>-20</v>
      </c>
      <c r="P29" s="13"/>
      <c r="Q29" s="5"/>
      <c r="R29" s="5"/>
      <c r="S29" s="5">
        <v>4.2300000000000004</v>
      </c>
      <c r="T29" s="5">
        <v>3.33</v>
      </c>
      <c r="U29" s="5"/>
      <c r="V29" s="5"/>
      <c r="W29" s="5">
        <f>S29/T29</f>
        <v>1.2702702702702704</v>
      </c>
      <c r="X29" s="4">
        <v>3</v>
      </c>
      <c r="Y29" s="40"/>
      <c r="Z29" s="5"/>
      <c r="AA29" s="5"/>
      <c r="AB29" s="5"/>
      <c r="AC29" s="5"/>
      <c r="AD29" s="13"/>
      <c r="AE29" s="13" t="s">
        <v>37</v>
      </c>
      <c r="AF29" s="7">
        <v>8.1999999999999993</v>
      </c>
      <c r="AG29" s="7">
        <v>3.02</v>
      </c>
      <c r="AH29" s="7">
        <v>2.72</v>
      </c>
      <c r="AI29" s="44"/>
    </row>
    <row r="30" spans="1:35" x14ac:dyDescent="0.4">
      <c r="A30" s="12" t="s">
        <v>60</v>
      </c>
      <c r="C30" s="2">
        <v>-15</v>
      </c>
      <c r="D30" s="2"/>
      <c r="E30" s="5"/>
      <c r="F30" s="5"/>
      <c r="G30" s="5">
        <v>7.4</v>
      </c>
      <c r="H30" s="5">
        <v>3.2</v>
      </c>
      <c r="I30" s="5"/>
      <c r="J30" s="5"/>
      <c r="K30" s="5">
        <f t="shared" ref="K30:K34" si="6">G30/H30</f>
        <v>2.3125</v>
      </c>
      <c r="L30" s="17"/>
      <c r="M30" s="6">
        <v>60</v>
      </c>
      <c r="N30" s="13"/>
      <c r="O30" s="13">
        <v>-15</v>
      </c>
      <c r="P30" s="13"/>
      <c r="Q30" s="5"/>
      <c r="R30" s="5"/>
      <c r="S30" s="5">
        <v>5.2</v>
      </c>
      <c r="T30" s="5">
        <v>3.42</v>
      </c>
      <c r="U30" s="5"/>
      <c r="V30" s="5"/>
      <c r="W30" s="5">
        <f t="shared" ref="W30:W34" si="7">S30/T30</f>
        <v>1.5204678362573101</v>
      </c>
      <c r="X30" s="13"/>
      <c r="Y30" s="40"/>
      <c r="Z30" s="5"/>
      <c r="AA30" s="5"/>
      <c r="AB30" s="5"/>
      <c r="AC30" s="5"/>
      <c r="AD30" s="13"/>
      <c r="AE30" s="13"/>
      <c r="AF30" s="7"/>
      <c r="AG30" s="7"/>
      <c r="AH30" s="7"/>
      <c r="AI30" s="20"/>
    </row>
    <row r="31" spans="1:35" x14ac:dyDescent="0.4">
      <c r="A31" s="3"/>
      <c r="C31" s="2">
        <v>-10</v>
      </c>
      <c r="D31" s="2"/>
      <c r="E31" s="5"/>
      <c r="F31" s="5"/>
      <c r="G31" s="29"/>
      <c r="H31" s="29"/>
      <c r="I31" s="5"/>
      <c r="J31" s="5"/>
      <c r="K31" s="5"/>
      <c r="L31" s="17"/>
      <c r="M31" s="6">
        <v>60</v>
      </c>
      <c r="N31" s="13"/>
      <c r="O31" s="13">
        <v>-10</v>
      </c>
      <c r="P31" s="13"/>
      <c r="Q31" s="5"/>
      <c r="R31" s="5"/>
      <c r="S31" s="29"/>
      <c r="T31" s="29"/>
      <c r="U31" s="5"/>
      <c r="V31" s="5"/>
      <c r="W31" s="5"/>
      <c r="X31" s="13"/>
      <c r="Y31" s="40" t="s">
        <v>39</v>
      </c>
      <c r="Z31" s="5">
        <v>7</v>
      </c>
      <c r="AA31" s="5">
        <v>2.6</v>
      </c>
      <c r="AB31" s="5">
        <v>6.2</v>
      </c>
      <c r="AC31" s="5">
        <v>1.7</v>
      </c>
      <c r="AD31" s="13"/>
      <c r="AE31" s="13" t="s">
        <v>38</v>
      </c>
      <c r="AF31" s="7">
        <v>10.28</v>
      </c>
      <c r="AG31" s="7">
        <v>3.25</v>
      </c>
      <c r="AH31" s="7">
        <v>3.16</v>
      </c>
      <c r="AI31" s="20"/>
    </row>
    <row r="32" spans="1:35" x14ac:dyDescent="0.4">
      <c r="A32" s="3"/>
      <c r="C32" s="2">
        <v>-7</v>
      </c>
      <c r="D32" s="2"/>
      <c r="E32" s="5"/>
      <c r="F32" s="5"/>
      <c r="G32" s="5">
        <v>6.12</v>
      </c>
      <c r="H32" s="5">
        <v>2.2000000000000002</v>
      </c>
      <c r="I32" s="5"/>
      <c r="J32" s="5"/>
      <c r="K32" s="5">
        <f t="shared" si="6"/>
        <v>2.7818181818181817</v>
      </c>
      <c r="L32" s="17"/>
      <c r="M32" s="6">
        <v>60</v>
      </c>
      <c r="N32" s="13"/>
      <c r="O32" s="13">
        <v>-7</v>
      </c>
      <c r="P32" s="13"/>
      <c r="Q32" s="5"/>
      <c r="R32" s="5"/>
      <c r="S32" s="5">
        <v>5.9</v>
      </c>
      <c r="T32" s="5">
        <v>3.06</v>
      </c>
      <c r="U32" s="5"/>
      <c r="V32" s="5"/>
      <c r="W32" s="5">
        <f t="shared" si="7"/>
        <v>1.9281045751633987</v>
      </c>
      <c r="X32" s="19"/>
      <c r="Y32" s="41">
        <f>AA32*(1.029-(0.05*Z32/G34))</f>
        <v>2.7831999999999995</v>
      </c>
      <c r="Z32" s="5">
        <v>6.3</v>
      </c>
      <c r="AA32" s="5">
        <v>2.8</v>
      </c>
      <c r="AB32" s="5">
        <v>6.2</v>
      </c>
      <c r="AC32" s="5">
        <v>1.86</v>
      </c>
      <c r="AD32" s="13"/>
      <c r="AE32" s="13" t="s">
        <v>40</v>
      </c>
      <c r="AF32" s="7">
        <v>9</v>
      </c>
      <c r="AG32" s="7">
        <v>2.15</v>
      </c>
      <c r="AH32" s="7">
        <v>4.18</v>
      </c>
      <c r="AI32" s="20"/>
    </row>
    <row r="33" spans="1:35" x14ac:dyDescent="0.4">
      <c r="A33" s="3"/>
      <c r="C33" s="2">
        <v>2</v>
      </c>
      <c r="D33" s="2"/>
      <c r="E33" s="5"/>
      <c r="F33" s="5"/>
      <c r="G33" s="5">
        <v>7</v>
      </c>
      <c r="H33" s="5">
        <v>2.06</v>
      </c>
      <c r="I33" s="5"/>
      <c r="J33" s="5"/>
      <c r="K33" s="5">
        <f t="shared" si="6"/>
        <v>3.3980582524271843</v>
      </c>
      <c r="L33" s="17"/>
      <c r="M33" s="6">
        <v>60</v>
      </c>
      <c r="N33" s="13"/>
      <c r="O33" s="13">
        <v>2</v>
      </c>
      <c r="P33" s="13"/>
      <c r="Q33" s="5"/>
      <c r="R33" s="5"/>
      <c r="S33" s="5">
        <v>6.3</v>
      </c>
      <c r="T33" s="5">
        <v>2.92</v>
      </c>
      <c r="U33" s="5"/>
      <c r="V33" s="5"/>
      <c r="W33" s="5">
        <f t="shared" si="7"/>
        <v>2.1575342465753424</v>
      </c>
      <c r="X33" s="19"/>
      <c r="Y33" s="41">
        <f>AA33*(0.906-(0.044*Z33/G34))</f>
        <v>4.4637337777777777</v>
      </c>
      <c r="Z33" s="5">
        <v>3.8</v>
      </c>
      <c r="AA33" s="5">
        <v>5.03</v>
      </c>
      <c r="AB33" s="5">
        <v>3.8</v>
      </c>
      <c r="AC33" s="5">
        <v>3.33</v>
      </c>
      <c r="AD33" s="13"/>
      <c r="AE33" s="13"/>
      <c r="AF33" s="19"/>
      <c r="AG33" s="19"/>
      <c r="AH33" s="20"/>
      <c r="AI33" s="20"/>
    </row>
    <row r="34" spans="1:35" x14ac:dyDescent="0.4">
      <c r="A34" s="3"/>
      <c r="C34" s="2">
        <v>7</v>
      </c>
      <c r="D34" s="2"/>
      <c r="E34" s="5"/>
      <c r="F34" s="5"/>
      <c r="G34" s="5">
        <v>9</v>
      </c>
      <c r="H34" s="5">
        <v>2.0099999999999998</v>
      </c>
      <c r="I34" s="5"/>
      <c r="J34" s="5"/>
      <c r="K34" s="5">
        <f t="shared" si="6"/>
        <v>4.477611940298508</v>
      </c>
      <c r="L34" s="17"/>
      <c r="M34" s="6">
        <v>60</v>
      </c>
      <c r="N34" s="13"/>
      <c r="O34" s="13">
        <v>7</v>
      </c>
      <c r="P34" s="13"/>
      <c r="Q34" s="5"/>
      <c r="R34" s="5"/>
      <c r="S34" s="5">
        <v>8.9499999999999993</v>
      </c>
      <c r="T34" s="5">
        <v>3.22</v>
      </c>
      <c r="U34" s="5"/>
      <c r="V34" s="5"/>
      <c r="W34" s="5">
        <f t="shared" si="7"/>
        <v>2.7795031055900616</v>
      </c>
      <c r="X34" s="19"/>
      <c r="Y34" s="41">
        <f>K34</f>
        <v>4.477611940298508</v>
      </c>
      <c r="Z34" s="5">
        <v>3</v>
      </c>
      <c r="AA34" s="5">
        <v>6.56</v>
      </c>
      <c r="AB34" s="5">
        <v>2.7</v>
      </c>
      <c r="AC34" s="5">
        <v>4.5199999999999996</v>
      </c>
      <c r="AD34" s="13"/>
      <c r="AE34" s="13"/>
      <c r="AF34" s="19"/>
      <c r="AG34" s="19"/>
      <c r="AH34" s="20"/>
      <c r="AI34" s="20"/>
    </row>
    <row r="35" spans="1:35" x14ac:dyDescent="0.4">
      <c r="A35" s="3"/>
      <c r="C35" s="2">
        <v>12</v>
      </c>
      <c r="D35" s="2"/>
      <c r="E35" s="5"/>
      <c r="F35" s="5"/>
      <c r="G35" s="29"/>
      <c r="H35" s="29"/>
      <c r="I35" s="5"/>
      <c r="J35" s="5"/>
      <c r="K35" s="29"/>
      <c r="L35" s="17"/>
      <c r="M35" s="6">
        <v>60</v>
      </c>
      <c r="N35" s="13"/>
      <c r="O35" s="13">
        <v>12</v>
      </c>
      <c r="P35" s="13"/>
      <c r="Q35" s="5"/>
      <c r="R35" s="5"/>
      <c r="S35" s="29"/>
      <c r="T35" s="29"/>
      <c r="U35" s="5"/>
      <c r="V35" s="5"/>
      <c r="W35" s="29"/>
      <c r="X35" s="19"/>
      <c r="Y35" s="40"/>
      <c r="Z35" s="5">
        <v>3.4</v>
      </c>
      <c r="AA35" s="5">
        <v>8.4700000000000006</v>
      </c>
      <c r="AB35" s="5">
        <v>3.3</v>
      </c>
      <c r="AC35" s="5">
        <v>6.26</v>
      </c>
      <c r="AD35" s="13"/>
      <c r="AE35" s="13"/>
      <c r="AF35" s="13"/>
      <c r="AG35" s="13"/>
      <c r="AH35" s="15"/>
    </row>
    <row r="36" spans="1:35" x14ac:dyDescent="0.4">
      <c r="A36" s="3"/>
      <c r="X36" s="19"/>
      <c r="AD36" s="13"/>
      <c r="AE36" s="13"/>
      <c r="AF36" s="13"/>
      <c r="AG36" s="13"/>
      <c r="AH36" s="15"/>
    </row>
    <row r="37" spans="1:35" x14ac:dyDescent="0.4">
      <c r="G37" s="33"/>
      <c r="H37" s="33"/>
      <c r="I37" s="33"/>
      <c r="J37" s="33"/>
      <c r="K37" s="33"/>
      <c r="S37" s="33"/>
      <c r="T37" s="33"/>
      <c r="U37" s="33"/>
      <c r="V37" s="33"/>
      <c r="W37" s="33"/>
      <c r="Y37" s="15"/>
      <c r="Z37" s="15"/>
      <c r="AA37" s="15"/>
      <c r="AB37" s="15"/>
      <c r="AC37" s="15"/>
    </row>
    <row r="38" spans="1:35" x14ac:dyDescent="0.4">
      <c r="S38" s="33"/>
      <c r="T38" s="33"/>
      <c r="U38" s="33"/>
      <c r="V38" s="33"/>
      <c r="W38" s="33"/>
      <c r="Y38" s="15"/>
      <c r="Z38" s="15"/>
      <c r="AA38" s="15"/>
      <c r="AB38" s="15"/>
      <c r="AC38" s="1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A288-D8CD-450C-9140-091332274B20}">
  <sheetPr>
    <tabColor theme="5"/>
  </sheetPr>
  <dimension ref="A1:AH75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94</v>
      </c>
      <c r="B5" s="1" t="s">
        <v>68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3"/>
      <c r="O5" s="4">
        <v>-28</v>
      </c>
      <c r="P5" s="13"/>
      <c r="Q5" s="5"/>
      <c r="R5" s="5"/>
      <c r="S5" s="5"/>
      <c r="T5" s="5"/>
      <c r="U5" s="5"/>
      <c r="V5" s="5"/>
      <c r="W5" s="5"/>
      <c r="X5" s="4">
        <v>9</v>
      </c>
      <c r="Y5" s="17"/>
      <c r="Z5" s="5"/>
      <c r="AA5" s="5"/>
      <c r="AB5" s="5"/>
      <c r="AC5" s="5"/>
      <c r="AD5" s="13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17"/>
      <c r="M6" s="6">
        <v>55</v>
      </c>
      <c r="N6" s="13"/>
      <c r="O6" s="13">
        <v>-25</v>
      </c>
      <c r="P6" s="13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3"/>
      <c r="O7" s="13">
        <v>-20</v>
      </c>
      <c r="P7" s="13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3"/>
      <c r="Y7" s="17"/>
      <c r="Z7" s="5"/>
      <c r="AA7" s="5"/>
      <c r="AB7" s="5"/>
      <c r="AC7" s="5"/>
      <c r="AD7" s="13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3"/>
      <c r="O8" s="13">
        <v>-15</v>
      </c>
      <c r="P8" s="13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3"/>
      <c r="Y8" s="17"/>
      <c r="Z8" s="5"/>
      <c r="AA8" s="5"/>
      <c r="AB8" s="5"/>
      <c r="AC8" s="5"/>
      <c r="AD8" s="13"/>
      <c r="AE8" s="13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3"/>
      <c r="O9" s="13">
        <v>-10</v>
      </c>
      <c r="P9" s="13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3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3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3"/>
      <c r="O10" s="13">
        <v>-7</v>
      </c>
      <c r="P10" s="13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3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3"/>
      <c r="AE10" s="13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3"/>
      <c r="O11" s="13">
        <v>2</v>
      </c>
      <c r="P11" s="13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3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3"/>
      <c r="AE11" s="13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3"/>
      <c r="O12" s="13">
        <v>7</v>
      </c>
      <c r="P12" s="13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3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3"/>
      <c r="AE12" s="13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3"/>
      <c r="O13" s="13">
        <v>12</v>
      </c>
      <c r="P13" s="13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3"/>
      <c r="Y13" s="17"/>
      <c r="Z13" s="5">
        <v>5.7</v>
      </c>
      <c r="AA13" s="5">
        <v>7.8</v>
      </c>
      <c r="AB13" s="5">
        <v>5.6</v>
      </c>
      <c r="AC13" s="5">
        <v>5.78</v>
      </c>
      <c r="AD13" s="13"/>
      <c r="AE13" s="13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22"/>
      <c r="H14" s="22"/>
      <c r="I14" s="22"/>
      <c r="J14" s="22"/>
      <c r="K14" s="22"/>
      <c r="L14" s="18"/>
      <c r="M14" s="18"/>
      <c r="N14" s="14"/>
      <c r="O14" s="14"/>
      <c r="P14" s="14"/>
      <c r="Q14" s="18"/>
      <c r="R14" s="22"/>
      <c r="S14" s="22"/>
      <c r="T14" s="22"/>
      <c r="U14" s="22"/>
      <c r="V14" s="22"/>
      <c r="W14" s="22"/>
      <c r="X14" s="14"/>
      <c r="Y14" s="22"/>
      <c r="Z14" s="22"/>
      <c r="AA14" s="22"/>
      <c r="AB14" s="22"/>
      <c r="AC14" s="22"/>
      <c r="AD14" s="14"/>
      <c r="AE14" s="14"/>
      <c r="AF14" s="18"/>
      <c r="AG14" s="18"/>
      <c r="AH14" s="18"/>
    </row>
    <row r="15" spans="1:34" ht="14.4" customHeight="1" x14ac:dyDescent="0.4">
      <c r="A15" s="3" t="s">
        <v>95</v>
      </c>
      <c r="B15" s="1" t="s">
        <v>68</v>
      </c>
      <c r="C15" s="4">
        <v>-28</v>
      </c>
      <c r="D15" s="2"/>
      <c r="E15" s="35"/>
      <c r="F15" s="5"/>
      <c r="G15" s="5"/>
      <c r="H15" s="5"/>
      <c r="I15" s="5"/>
      <c r="J15" s="5"/>
      <c r="K15" s="5"/>
      <c r="L15" s="17"/>
      <c r="M15" s="6">
        <v>55</v>
      </c>
      <c r="N15" s="13"/>
      <c r="O15" s="4">
        <v>-28</v>
      </c>
      <c r="P15" s="13"/>
      <c r="Q15" s="5"/>
      <c r="R15" s="5"/>
      <c r="S15" s="5"/>
      <c r="T15" s="5"/>
      <c r="U15" s="5"/>
      <c r="V15" s="5"/>
      <c r="W15" s="5"/>
      <c r="X15" s="4">
        <v>9</v>
      </c>
      <c r="Y15" s="17"/>
      <c r="Z15" s="5"/>
      <c r="AA15" s="5"/>
      <c r="AB15" s="5"/>
      <c r="AC15" s="5"/>
      <c r="AD15" s="13"/>
      <c r="AE15" s="13" t="s">
        <v>37</v>
      </c>
      <c r="AF15" s="7">
        <v>9</v>
      </c>
      <c r="AG15" s="7">
        <v>2.4900000000000002</v>
      </c>
      <c r="AH15" s="7">
        <f>AF15/AG15</f>
        <v>3.6144578313253009</v>
      </c>
    </row>
    <row r="16" spans="1:34" ht="14.4" customHeight="1" x14ac:dyDescent="0.4">
      <c r="A16" s="3"/>
      <c r="C16" s="13">
        <v>-25</v>
      </c>
      <c r="D16" s="2"/>
      <c r="E16" s="35"/>
      <c r="F16" s="5"/>
      <c r="G16" s="5">
        <v>8.1999999999999993</v>
      </c>
      <c r="H16" s="5">
        <v>4.2</v>
      </c>
      <c r="I16" s="5"/>
      <c r="J16" s="5"/>
      <c r="K16" s="5">
        <v>1.9523809523809523</v>
      </c>
      <c r="L16" s="17"/>
      <c r="M16" s="6">
        <v>55</v>
      </c>
      <c r="N16" s="13"/>
      <c r="O16" s="13">
        <v>-25</v>
      </c>
      <c r="P16" s="13"/>
      <c r="Q16" s="5"/>
      <c r="R16" s="5"/>
      <c r="S16" s="5">
        <v>7.6</v>
      </c>
      <c r="T16" s="5">
        <v>5.7</v>
      </c>
      <c r="U16" s="5"/>
      <c r="V16" s="5"/>
      <c r="W16" s="5">
        <v>1.3333333333333333</v>
      </c>
      <c r="X16" s="19"/>
      <c r="Y16" s="17"/>
      <c r="Z16" s="5"/>
      <c r="AA16" s="5"/>
      <c r="AB16" s="5"/>
      <c r="AC16" s="5"/>
      <c r="AD16" s="13"/>
      <c r="AE16" s="13"/>
      <c r="AF16" s="7"/>
      <c r="AG16" s="7"/>
      <c r="AH16" s="7"/>
    </row>
    <row r="17" spans="1:34" x14ac:dyDescent="0.4">
      <c r="A17" s="46"/>
      <c r="C17" s="13">
        <v>-20</v>
      </c>
      <c r="D17" s="2"/>
      <c r="E17" s="35"/>
      <c r="F17" s="5"/>
      <c r="G17" s="5">
        <v>8.1999999999999993</v>
      </c>
      <c r="H17" s="5">
        <v>3.34</v>
      </c>
      <c r="I17" s="5"/>
      <c r="J17" s="5"/>
      <c r="K17" s="5">
        <v>2.4550898203592815</v>
      </c>
      <c r="L17" s="17"/>
      <c r="M17" s="6">
        <v>65</v>
      </c>
      <c r="N17" s="13"/>
      <c r="O17" s="13">
        <v>-20</v>
      </c>
      <c r="P17" s="13"/>
      <c r="Q17" s="5"/>
      <c r="R17" s="5"/>
      <c r="S17" s="5">
        <v>7.6</v>
      </c>
      <c r="T17" s="5">
        <v>4.76</v>
      </c>
      <c r="U17" s="5"/>
      <c r="V17" s="5"/>
      <c r="W17" s="5">
        <v>1.596638655462185</v>
      </c>
      <c r="X17" s="13"/>
      <c r="Y17" s="17"/>
      <c r="Z17" s="5"/>
      <c r="AA17" s="5"/>
      <c r="AB17" s="5"/>
      <c r="AC17" s="5"/>
      <c r="AD17" s="13"/>
      <c r="AE17" s="13" t="s">
        <v>38</v>
      </c>
      <c r="AF17" s="7">
        <v>9.8000000000000007</v>
      </c>
      <c r="AG17" s="7">
        <v>2.63</v>
      </c>
      <c r="AH17" s="7">
        <f>AF17/AG17</f>
        <v>3.7262357414448672</v>
      </c>
    </row>
    <row r="18" spans="1:34" x14ac:dyDescent="0.4">
      <c r="A18" s="3"/>
      <c r="C18" s="2">
        <v>-15</v>
      </c>
      <c r="D18" s="2"/>
      <c r="E18" s="35"/>
      <c r="F18" s="5"/>
      <c r="G18" s="5">
        <v>9</v>
      </c>
      <c r="H18" s="5">
        <v>3.3</v>
      </c>
      <c r="I18" s="5"/>
      <c r="J18" s="5"/>
      <c r="K18" s="5">
        <v>2.7272727272727271</v>
      </c>
      <c r="L18" s="17"/>
      <c r="M18" s="6">
        <v>75</v>
      </c>
      <c r="N18" s="13"/>
      <c r="O18" s="13">
        <v>-15</v>
      </c>
      <c r="P18" s="13"/>
      <c r="Q18" s="5"/>
      <c r="R18" s="5"/>
      <c r="S18" s="5">
        <v>9</v>
      </c>
      <c r="T18" s="5">
        <v>4.4800000000000004</v>
      </c>
      <c r="U18" s="5"/>
      <c r="V18" s="5"/>
      <c r="W18" s="5">
        <v>2.0089285714285716</v>
      </c>
      <c r="X18" s="13"/>
      <c r="Y18" s="17"/>
      <c r="Z18" s="5"/>
      <c r="AA18" s="5"/>
      <c r="AB18" s="5"/>
      <c r="AC18" s="5"/>
      <c r="AD18" s="13"/>
      <c r="AE18" s="13" t="s">
        <v>40</v>
      </c>
      <c r="AF18" s="7">
        <v>9</v>
      </c>
      <c r="AG18" s="7">
        <v>1.71</v>
      </c>
      <c r="AH18" s="7">
        <f>AF18/AG18</f>
        <v>5.2631578947368425</v>
      </c>
    </row>
    <row r="19" spans="1:34" x14ac:dyDescent="0.4">
      <c r="A19" s="3"/>
      <c r="C19" s="2">
        <v>-10</v>
      </c>
      <c r="D19" s="2"/>
      <c r="E19" s="3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3"/>
      <c r="O19" s="13">
        <v>-10</v>
      </c>
      <c r="P19" s="13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3"/>
      <c r="Y19" s="17" t="s">
        <v>39</v>
      </c>
      <c r="Z19" s="5">
        <v>9</v>
      </c>
      <c r="AA19" s="5">
        <v>3.19</v>
      </c>
      <c r="AB19" s="5">
        <v>9</v>
      </c>
      <c r="AC19" s="5">
        <v>2.17</v>
      </c>
      <c r="AD19" s="13"/>
    </row>
    <row r="20" spans="1:34" x14ac:dyDescent="0.4">
      <c r="A20" s="3"/>
      <c r="C20" s="2">
        <v>-7</v>
      </c>
      <c r="D20" s="2"/>
      <c r="E20" s="35"/>
      <c r="F20" s="5"/>
      <c r="G20" s="5">
        <v>9</v>
      </c>
      <c r="H20" s="5">
        <v>2.61</v>
      </c>
      <c r="I20" s="5"/>
      <c r="J20" s="5"/>
      <c r="K20" s="5">
        <v>3.4482758620689653</v>
      </c>
      <c r="L20" s="17"/>
      <c r="M20" s="6">
        <v>75</v>
      </c>
      <c r="N20" s="13"/>
      <c r="O20" s="13">
        <v>-7</v>
      </c>
      <c r="P20" s="13"/>
      <c r="Q20" s="5"/>
      <c r="R20" s="5"/>
      <c r="S20" s="5">
        <v>9</v>
      </c>
      <c r="T20" s="5">
        <v>3.83</v>
      </c>
      <c r="U20" s="5"/>
      <c r="V20" s="5"/>
      <c r="W20" s="5">
        <v>2.3498694516971281</v>
      </c>
      <c r="X20" s="13"/>
      <c r="Y20" s="5">
        <f>AA20*(1.029-(0.05*Z20/G22))</f>
        <v>3.4656355555555556</v>
      </c>
      <c r="Z20" s="5">
        <v>8</v>
      </c>
      <c r="AA20" s="5">
        <v>3.52</v>
      </c>
      <c r="AB20" s="5">
        <v>8</v>
      </c>
      <c r="AC20" s="5">
        <v>2.4900000000000002</v>
      </c>
      <c r="AD20" s="13"/>
      <c r="AE20" s="13"/>
      <c r="AF20" s="19"/>
      <c r="AG20" s="19"/>
      <c r="AH20" s="20"/>
    </row>
    <row r="21" spans="1:34" x14ac:dyDescent="0.4">
      <c r="A21" s="3"/>
      <c r="C21" s="2">
        <v>2</v>
      </c>
      <c r="D21" s="2"/>
      <c r="E21" s="35"/>
      <c r="F21" s="5"/>
      <c r="G21" s="5">
        <v>9</v>
      </c>
      <c r="H21" s="5">
        <v>2.36</v>
      </c>
      <c r="I21" s="5"/>
      <c r="J21" s="5"/>
      <c r="K21" s="5">
        <v>3.8135593220338984</v>
      </c>
      <c r="L21" s="17"/>
      <c r="M21" s="6">
        <v>75</v>
      </c>
      <c r="N21" s="13"/>
      <c r="O21" s="13">
        <v>2</v>
      </c>
      <c r="P21" s="13"/>
      <c r="Q21" s="5"/>
      <c r="R21" s="5"/>
      <c r="S21" s="5">
        <v>9</v>
      </c>
      <c r="T21" s="5">
        <v>3.54</v>
      </c>
      <c r="U21" s="5"/>
      <c r="V21" s="5"/>
      <c r="W21" s="5">
        <v>2.5423728813559321</v>
      </c>
      <c r="X21" s="13"/>
      <c r="Y21" s="5">
        <f>AA21*(0.906-(0.044*Z21/G22))</f>
        <v>4.2690951111111115</v>
      </c>
      <c r="Z21" s="5">
        <v>4.9000000000000004</v>
      </c>
      <c r="AA21" s="5">
        <v>4.84</v>
      </c>
      <c r="AB21" s="5">
        <v>4.9000000000000004</v>
      </c>
      <c r="AC21" s="5">
        <v>3.29</v>
      </c>
      <c r="AD21" s="13"/>
      <c r="AE21" s="13"/>
      <c r="AF21" s="19"/>
      <c r="AG21" s="19"/>
      <c r="AH21" s="20"/>
    </row>
    <row r="22" spans="1:34" x14ac:dyDescent="0.4">
      <c r="A22" s="3"/>
      <c r="C22" s="2">
        <v>7</v>
      </c>
      <c r="D22" s="2"/>
      <c r="E22" s="35"/>
      <c r="F22" s="5"/>
      <c r="G22" s="5">
        <v>9</v>
      </c>
      <c r="H22" s="5">
        <v>1.72</v>
      </c>
      <c r="I22" s="5"/>
      <c r="J22" s="5"/>
      <c r="K22" s="5">
        <v>5.2325581395348841</v>
      </c>
      <c r="L22" s="17"/>
      <c r="M22" s="6">
        <v>75</v>
      </c>
      <c r="N22" s="13"/>
      <c r="O22" s="13">
        <v>7</v>
      </c>
      <c r="P22" s="13"/>
      <c r="Q22" s="5"/>
      <c r="R22" s="5"/>
      <c r="S22" s="5">
        <v>9</v>
      </c>
      <c r="T22" s="5">
        <v>2.78</v>
      </c>
      <c r="U22" s="5"/>
      <c r="V22" s="5"/>
      <c r="W22" s="5">
        <v>3.2374100719424459</v>
      </c>
      <c r="X22" s="13"/>
      <c r="Y22" s="5">
        <f>K22</f>
        <v>5.2325581395348841</v>
      </c>
      <c r="Z22" s="5">
        <v>4.8</v>
      </c>
      <c r="AA22" s="5">
        <v>6.15</v>
      </c>
      <c r="AB22" s="5">
        <v>4.7</v>
      </c>
      <c r="AC22" s="5">
        <v>4.42</v>
      </c>
      <c r="AD22" s="13"/>
      <c r="AE22" s="13"/>
      <c r="AF22" s="19"/>
      <c r="AG22" s="19"/>
      <c r="AH22" s="20"/>
    </row>
    <row r="23" spans="1:34" x14ac:dyDescent="0.4">
      <c r="A23" s="3"/>
      <c r="C23" s="2">
        <v>12</v>
      </c>
      <c r="D23" s="2"/>
      <c r="E23" s="3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3"/>
      <c r="O23" s="13">
        <v>12</v>
      </c>
      <c r="P23" s="13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3"/>
      <c r="Y23" s="17"/>
      <c r="Z23" s="5">
        <v>5.7</v>
      </c>
      <c r="AA23" s="5">
        <v>7.8</v>
      </c>
      <c r="AB23" s="5">
        <v>5.6</v>
      </c>
      <c r="AC23" s="5">
        <v>5.78</v>
      </c>
      <c r="AD23" s="13"/>
      <c r="AE23" s="13"/>
      <c r="AF23" s="19"/>
      <c r="AG23" s="19"/>
      <c r="AH23" s="20"/>
    </row>
    <row r="24" spans="1:34" x14ac:dyDescent="0.4">
      <c r="A24" s="8"/>
      <c r="B24" s="8"/>
      <c r="C24" s="9"/>
      <c r="D24" s="9"/>
      <c r="E24" s="18"/>
      <c r="F24" s="18"/>
      <c r="G24" s="38"/>
      <c r="H24" s="37"/>
      <c r="I24" s="22"/>
      <c r="J24" s="22"/>
      <c r="K24" s="37"/>
      <c r="L24" s="18"/>
      <c r="M24" s="14"/>
      <c r="N24" s="14"/>
      <c r="O24" s="14"/>
      <c r="P24" s="14"/>
      <c r="Q24" s="18"/>
      <c r="R24" s="22"/>
      <c r="S24" s="22"/>
      <c r="T24" s="22"/>
      <c r="U24" s="22"/>
      <c r="V24" s="22"/>
      <c r="W24" s="22"/>
      <c r="X24" s="14"/>
      <c r="Y24" s="31"/>
      <c r="Z24" s="31"/>
      <c r="AA24" s="31"/>
      <c r="AB24" s="31"/>
      <c r="AC24" s="31"/>
      <c r="AD24" s="14"/>
      <c r="AE24" s="14"/>
      <c r="AF24" s="14"/>
      <c r="AG24" s="14"/>
      <c r="AH24" s="14"/>
    </row>
    <row r="25" spans="1:34" x14ac:dyDescent="0.4">
      <c r="A25" s="3" t="s">
        <v>94</v>
      </c>
      <c r="B25" s="1" t="s">
        <v>67</v>
      </c>
      <c r="C25" s="4">
        <v>-28</v>
      </c>
      <c r="D25" s="2"/>
      <c r="E25" s="5"/>
      <c r="F25" s="5"/>
      <c r="G25" s="5"/>
      <c r="H25" s="5"/>
      <c r="I25" s="5"/>
      <c r="J25" s="5"/>
      <c r="K25" s="5"/>
      <c r="L25" s="17"/>
      <c r="M25" s="6">
        <v>55</v>
      </c>
      <c r="N25" s="13"/>
      <c r="O25" s="4">
        <v>-28</v>
      </c>
      <c r="P25" s="13"/>
      <c r="Q25" s="5"/>
      <c r="R25" s="5"/>
      <c r="S25" s="5"/>
      <c r="T25" s="5"/>
      <c r="U25" s="5"/>
      <c r="V25" s="5"/>
      <c r="W25" s="5"/>
      <c r="X25" s="4">
        <v>9</v>
      </c>
      <c r="Y25" s="17"/>
      <c r="Z25" s="5"/>
      <c r="AA25" s="5"/>
      <c r="AB25" s="5"/>
      <c r="AC25" s="5"/>
      <c r="AD25" s="13"/>
      <c r="AE25" s="13" t="s">
        <v>37</v>
      </c>
      <c r="AF25" s="7">
        <v>12</v>
      </c>
      <c r="AG25" s="7">
        <v>4.21</v>
      </c>
      <c r="AH25" s="7">
        <f>AF25/AG25</f>
        <v>2.8503562945368173</v>
      </c>
    </row>
    <row r="26" spans="1:34" x14ac:dyDescent="0.4">
      <c r="A26" s="3"/>
      <c r="C26" s="13">
        <v>-25</v>
      </c>
      <c r="D26" s="2"/>
      <c r="E26" s="5"/>
      <c r="F26" s="5"/>
      <c r="G26" s="5">
        <v>10.5</v>
      </c>
      <c r="H26" s="5">
        <v>5.55</v>
      </c>
      <c r="I26" s="5"/>
      <c r="J26" s="5"/>
      <c r="K26" s="5">
        <v>1.8918918918918919</v>
      </c>
      <c r="L26" s="17"/>
      <c r="M26" s="6">
        <v>55</v>
      </c>
      <c r="N26" s="13"/>
      <c r="O26" s="13">
        <v>-25</v>
      </c>
      <c r="P26" s="13"/>
      <c r="Q26" s="5"/>
      <c r="R26" s="5"/>
      <c r="S26" s="5">
        <v>9.6999999999999993</v>
      </c>
      <c r="T26" s="5">
        <v>7.4</v>
      </c>
      <c r="U26" s="5"/>
      <c r="V26" s="5"/>
      <c r="W26" s="5">
        <v>1.3108108108108107</v>
      </c>
      <c r="X26" s="19"/>
      <c r="Y26" s="17"/>
      <c r="Z26" s="5"/>
      <c r="AA26" s="5"/>
      <c r="AB26" s="5"/>
      <c r="AC26" s="5"/>
      <c r="AD26" s="13"/>
      <c r="AE26" s="13"/>
      <c r="AF26" s="7"/>
      <c r="AG26" s="7"/>
      <c r="AH26" s="7"/>
    </row>
    <row r="27" spans="1:34" x14ac:dyDescent="0.4">
      <c r="A27" s="46"/>
      <c r="C27" s="13">
        <v>-20</v>
      </c>
      <c r="D27" s="2"/>
      <c r="E27" s="5"/>
      <c r="F27" s="5"/>
      <c r="G27" s="5">
        <v>11.2</v>
      </c>
      <c r="H27" s="5">
        <v>4.75</v>
      </c>
      <c r="I27" s="5"/>
      <c r="J27" s="5"/>
      <c r="K27" s="5">
        <v>2.357894736842105</v>
      </c>
      <c r="L27" s="17"/>
      <c r="M27" s="6">
        <v>65</v>
      </c>
      <c r="N27" s="13"/>
      <c r="O27" s="13">
        <v>-20</v>
      </c>
      <c r="P27" s="13"/>
      <c r="Q27" s="5"/>
      <c r="R27" s="5"/>
      <c r="S27" s="5">
        <v>10.8</v>
      </c>
      <c r="T27" s="5">
        <v>6.45</v>
      </c>
      <c r="U27" s="5"/>
      <c r="V27" s="5"/>
      <c r="W27" s="5">
        <v>1.6744186046511629</v>
      </c>
      <c r="X27" s="19"/>
      <c r="Y27" s="17"/>
      <c r="Z27" s="5"/>
      <c r="AA27" s="5"/>
      <c r="AB27" s="5"/>
      <c r="AC27" s="5"/>
      <c r="AD27" s="13"/>
      <c r="AE27" s="13" t="s">
        <v>38</v>
      </c>
      <c r="AF27" s="7">
        <v>13.2</v>
      </c>
      <c r="AG27" s="7">
        <v>3.25</v>
      </c>
      <c r="AH27" s="7">
        <f>AF27/AG27</f>
        <v>4.0615384615384613</v>
      </c>
    </row>
    <row r="28" spans="1:34" x14ac:dyDescent="0.4">
      <c r="A28" s="3"/>
      <c r="C28" s="2">
        <v>-15</v>
      </c>
      <c r="D28" s="2"/>
      <c r="E28" s="5"/>
      <c r="F28" s="5"/>
      <c r="G28" s="5">
        <v>12</v>
      </c>
      <c r="H28" s="5">
        <v>4.5599999999999996</v>
      </c>
      <c r="I28" s="5"/>
      <c r="J28" s="5"/>
      <c r="K28" s="5">
        <v>2.6315789473684212</v>
      </c>
      <c r="L28" s="17"/>
      <c r="M28" s="6">
        <v>75</v>
      </c>
      <c r="N28" s="13"/>
      <c r="O28" s="13">
        <v>-15</v>
      </c>
      <c r="P28" s="13"/>
      <c r="Q28" s="5"/>
      <c r="R28" s="5"/>
      <c r="S28" s="5">
        <v>12</v>
      </c>
      <c r="T28" s="5">
        <v>6</v>
      </c>
      <c r="U28" s="5"/>
      <c r="V28" s="5"/>
      <c r="W28" s="5">
        <v>2</v>
      </c>
      <c r="X28" s="19"/>
      <c r="Y28" s="17"/>
      <c r="Z28" s="5"/>
      <c r="AA28" s="5"/>
      <c r="AB28" s="5"/>
      <c r="AC28" s="5"/>
      <c r="AD28" s="13"/>
      <c r="AE28" s="13" t="s">
        <v>40</v>
      </c>
      <c r="AF28" s="7">
        <v>12</v>
      </c>
      <c r="AG28" s="7">
        <v>2.8</v>
      </c>
      <c r="AH28" s="7">
        <f>AF28/AG28</f>
        <v>4.2857142857142856</v>
      </c>
    </row>
    <row r="29" spans="1:34" x14ac:dyDescent="0.4">
      <c r="A29" s="3"/>
      <c r="C29" s="2">
        <v>-10</v>
      </c>
      <c r="D29" s="2"/>
      <c r="E29" s="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3"/>
      <c r="O29" s="13">
        <v>-10</v>
      </c>
      <c r="P29" s="13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9"/>
      <c r="Y29" s="17" t="s">
        <v>39</v>
      </c>
      <c r="Z29" s="5">
        <v>12</v>
      </c>
      <c r="AA29" s="5">
        <v>2.91</v>
      </c>
      <c r="AB29" s="5">
        <v>12</v>
      </c>
      <c r="AC29" s="5">
        <v>2.12</v>
      </c>
      <c r="AD29" s="13"/>
    </row>
    <row r="30" spans="1:34" x14ac:dyDescent="0.4">
      <c r="A30" s="3"/>
      <c r="C30" s="2">
        <v>-7</v>
      </c>
      <c r="D30" s="2"/>
      <c r="E30" s="5"/>
      <c r="F30" s="5"/>
      <c r="G30" s="5">
        <v>12</v>
      </c>
      <c r="H30" s="5">
        <v>4</v>
      </c>
      <c r="I30" s="5"/>
      <c r="J30" s="5"/>
      <c r="K30" s="5">
        <v>3</v>
      </c>
      <c r="L30" s="17"/>
      <c r="M30" s="6">
        <v>75</v>
      </c>
      <c r="N30" s="13"/>
      <c r="O30" s="13">
        <v>-7</v>
      </c>
      <c r="P30" s="13"/>
      <c r="Q30" s="5"/>
      <c r="R30" s="5"/>
      <c r="S30" s="5">
        <v>12</v>
      </c>
      <c r="T30" s="5">
        <v>5.53</v>
      </c>
      <c r="U30" s="5"/>
      <c r="V30" s="5"/>
      <c r="W30" s="5">
        <v>2.1699819168173597</v>
      </c>
      <c r="X30" s="19"/>
      <c r="Y30" s="5">
        <f>AA30*(1.029-(0.05*Z30/G32))</f>
        <v>2.7476849999999997</v>
      </c>
      <c r="Z30" s="5">
        <v>10.6</v>
      </c>
      <c r="AA30" s="5">
        <v>2.79</v>
      </c>
      <c r="AB30" s="5">
        <v>10.6</v>
      </c>
      <c r="AC30" s="5">
        <v>2.2200000000000002</v>
      </c>
      <c r="AD30" s="13"/>
      <c r="AE30" s="13"/>
      <c r="AF30" s="19"/>
      <c r="AG30" s="19"/>
      <c r="AH30" s="20"/>
    </row>
    <row r="31" spans="1:34" x14ac:dyDescent="0.4">
      <c r="A31" s="3"/>
      <c r="C31" s="2">
        <v>2</v>
      </c>
      <c r="D31" s="2"/>
      <c r="E31" s="5"/>
      <c r="F31" s="5"/>
      <c r="G31" s="5">
        <v>12</v>
      </c>
      <c r="H31" s="5">
        <v>3.39</v>
      </c>
      <c r="I31" s="5"/>
      <c r="J31" s="5"/>
      <c r="K31" s="5">
        <v>3.5398230088495577</v>
      </c>
      <c r="L31" s="17"/>
      <c r="M31" s="6">
        <v>75</v>
      </c>
      <c r="N31" s="13"/>
      <c r="O31" s="13">
        <v>2</v>
      </c>
      <c r="P31" s="13"/>
      <c r="Q31" s="5"/>
      <c r="R31" s="5"/>
      <c r="S31" s="5">
        <v>12</v>
      </c>
      <c r="T31" s="5">
        <v>4.95</v>
      </c>
      <c r="U31" s="5"/>
      <c r="V31" s="5"/>
      <c r="W31" s="5">
        <v>2.4242424242424243</v>
      </c>
      <c r="X31" s="19"/>
      <c r="Y31" s="5">
        <f>AA31*(0.906-(0.044*Z31/G32))</f>
        <v>4.1020750000000001</v>
      </c>
      <c r="Z31" s="5">
        <v>6.5</v>
      </c>
      <c r="AA31" s="5">
        <v>4.6500000000000004</v>
      </c>
      <c r="AB31" s="5">
        <v>6.5</v>
      </c>
      <c r="AC31" s="5">
        <v>3.65</v>
      </c>
      <c r="AD31" s="13"/>
      <c r="AE31" s="13"/>
      <c r="AF31" s="19"/>
      <c r="AG31" s="19"/>
      <c r="AH31" s="20"/>
    </row>
    <row r="32" spans="1:34" x14ac:dyDescent="0.4">
      <c r="A32" s="3"/>
      <c r="C32" s="2">
        <v>7</v>
      </c>
      <c r="D32" s="2"/>
      <c r="E32" s="5"/>
      <c r="F32" s="5"/>
      <c r="G32" s="5">
        <v>12</v>
      </c>
      <c r="H32" s="5">
        <v>2.37</v>
      </c>
      <c r="I32" s="5"/>
      <c r="J32" s="5"/>
      <c r="K32" s="5">
        <v>5.0632911392405067</v>
      </c>
      <c r="L32" s="17"/>
      <c r="M32" s="6">
        <v>75</v>
      </c>
      <c r="N32" s="13"/>
      <c r="O32" s="13">
        <v>7</v>
      </c>
      <c r="P32" s="13"/>
      <c r="Q32" s="5"/>
      <c r="R32" s="5"/>
      <c r="S32" s="5">
        <v>12</v>
      </c>
      <c r="T32" s="5">
        <v>3.71</v>
      </c>
      <c r="U32" s="5"/>
      <c r="V32" s="5"/>
      <c r="W32" s="5">
        <v>3.2345013477088949</v>
      </c>
      <c r="X32" s="19"/>
      <c r="Y32" s="5">
        <f>K32</f>
        <v>5.0632911392405067</v>
      </c>
      <c r="Z32" s="5">
        <v>5.3</v>
      </c>
      <c r="AA32" s="5">
        <v>6.25</v>
      </c>
      <c r="AB32" s="5">
        <v>4.9000000000000004</v>
      </c>
      <c r="AC32" s="5">
        <v>4.57</v>
      </c>
      <c r="AD32" s="13"/>
      <c r="AE32" s="13"/>
      <c r="AF32" s="19"/>
      <c r="AG32" s="19"/>
      <c r="AH32" s="20"/>
    </row>
    <row r="33" spans="1:34" x14ac:dyDescent="0.4">
      <c r="A33" s="3"/>
      <c r="C33" s="2">
        <v>12</v>
      </c>
      <c r="D33" s="2"/>
      <c r="E33" s="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3"/>
      <c r="O33" s="13">
        <v>12</v>
      </c>
      <c r="P33" s="13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9"/>
      <c r="Y33" s="17"/>
      <c r="Z33" s="5">
        <v>6.1</v>
      </c>
      <c r="AA33" s="5">
        <v>7.78</v>
      </c>
      <c r="AB33" s="5">
        <v>5.7</v>
      </c>
      <c r="AC33" s="5">
        <v>5.84</v>
      </c>
      <c r="AD33" s="13"/>
      <c r="AE33" s="13"/>
      <c r="AF33" s="19"/>
      <c r="AG33" s="19"/>
      <c r="AH33" s="20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4"/>
      <c r="O34" s="14"/>
      <c r="P34" s="14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4"/>
      <c r="AE34" s="14"/>
      <c r="AF34" s="18"/>
      <c r="AG34" s="18"/>
      <c r="AH34" s="18"/>
    </row>
    <row r="35" spans="1:34" x14ac:dyDescent="0.4">
      <c r="A35" s="3" t="s">
        <v>95</v>
      </c>
      <c r="B35" s="1" t="s">
        <v>67</v>
      </c>
      <c r="C35" s="4">
        <v>-28</v>
      </c>
      <c r="D35" s="2"/>
      <c r="E35" s="5"/>
      <c r="F35" s="5"/>
      <c r="G35" s="5"/>
      <c r="H35" s="5"/>
      <c r="I35" s="5"/>
      <c r="J35" s="5"/>
      <c r="K35" s="5"/>
      <c r="L35" s="17"/>
      <c r="M35" s="6">
        <v>55</v>
      </c>
      <c r="N35" s="13"/>
      <c r="O35" s="4">
        <v>-28</v>
      </c>
      <c r="P35" s="13"/>
      <c r="Q35" s="5"/>
      <c r="R35" s="5"/>
      <c r="S35" s="5"/>
      <c r="T35" s="5"/>
      <c r="U35" s="5"/>
      <c r="V35" s="5"/>
      <c r="W35" s="5"/>
      <c r="X35" s="4">
        <v>9</v>
      </c>
      <c r="Y35" s="17"/>
      <c r="Z35" s="5"/>
      <c r="AA35" s="5"/>
      <c r="AB35" s="5"/>
      <c r="AC35" s="5"/>
      <c r="AD35" s="13"/>
      <c r="AE35" s="13" t="s">
        <v>37</v>
      </c>
      <c r="AF35" s="7">
        <v>12</v>
      </c>
      <c r="AG35" s="7">
        <v>4.21</v>
      </c>
      <c r="AH35" s="7">
        <f>AF35/AG35</f>
        <v>2.8503562945368173</v>
      </c>
    </row>
    <row r="36" spans="1:34" x14ac:dyDescent="0.4">
      <c r="A36" s="3"/>
      <c r="C36" s="13">
        <v>-25</v>
      </c>
      <c r="D36" s="2"/>
      <c r="E36" s="5"/>
      <c r="F36" s="5"/>
      <c r="G36" s="5">
        <v>10.5</v>
      </c>
      <c r="H36" s="5">
        <v>5.55</v>
      </c>
      <c r="I36" s="5"/>
      <c r="J36" s="5"/>
      <c r="K36" s="5">
        <v>1.8918918918918919</v>
      </c>
      <c r="L36" s="17"/>
      <c r="M36" s="6">
        <v>55</v>
      </c>
      <c r="N36" s="13"/>
      <c r="O36" s="13">
        <v>-25</v>
      </c>
      <c r="P36" s="13"/>
      <c r="Q36" s="5"/>
      <c r="R36" s="5"/>
      <c r="S36" s="5">
        <v>9.6999999999999993</v>
      </c>
      <c r="T36" s="5">
        <v>7.4</v>
      </c>
      <c r="U36" s="5"/>
      <c r="V36" s="5"/>
      <c r="W36" s="5">
        <v>1.3108108108108107</v>
      </c>
      <c r="X36" s="19"/>
      <c r="Y36" s="17"/>
      <c r="Z36" s="5"/>
      <c r="AA36" s="5"/>
      <c r="AB36" s="5"/>
      <c r="AC36" s="5"/>
      <c r="AD36" s="13"/>
      <c r="AE36" s="13"/>
      <c r="AF36" s="7"/>
      <c r="AG36" s="7"/>
      <c r="AH36" s="7"/>
    </row>
    <row r="37" spans="1:34" x14ac:dyDescent="0.4">
      <c r="A37" s="46"/>
      <c r="C37" s="13">
        <v>-20</v>
      </c>
      <c r="D37" s="2"/>
      <c r="E37" s="5"/>
      <c r="F37" s="5"/>
      <c r="G37" s="5">
        <v>11.2</v>
      </c>
      <c r="H37" s="5">
        <v>4.75</v>
      </c>
      <c r="I37" s="5"/>
      <c r="J37" s="5"/>
      <c r="K37" s="5">
        <v>2.357894736842105</v>
      </c>
      <c r="L37" s="17"/>
      <c r="M37" s="6">
        <v>65</v>
      </c>
      <c r="N37" s="13"/>
      <c r="O37" s="13">
        <v>-20</v>
      </c>
      <c r="P37" s="13"/>
      <c r="Q37" s="5"/>
      <c r="R37" s="5"/>
      <c r="S37" s="5">
        <v>10.8</v>
      </c>
      <c r="T37" s="5">
        <v>6.45</v>
      </c>
      <c r="U37" s="5"/>
      <c r="V37" s="5"/>
      <c r="W37" s="5">
        <v>1.6744186046511629</v>
      </c>
      <c r="X37" s="19"/>
      <c r="Y37" s="17"/>
      <c r="Z37" s="5"/>
      <c r="AA37" s="5"/>
      <c r="AB37" s="5"/>
      <c r="AC37" s="5"/>
      <c r="AD37" s="13"/>
      <c r="AE37" s="13" t="s">
        <v>38</v>
      </c>
      <c r="AF37" s="7">
        <v>13.2</v>
      </c>
      <c r="AG37" s="7">
        <v>3.25</v>
      </c>
      <c r="AH37" s="7">
        <f>AF37/AG37</f>
        <v>4.0615384615384613</v>
      </c>
    </row>
    <row r="38" spans="1:34" x14ac:dyDescent="0.4">
      <c r="A38" s="3"/>
      <c r="C38" s="2">
        <v>-15</v>
      </c>
      <c r="D38" s="2"/>
      <c r="E38" s="5"/>
      <c r="F38" s="5"/>
      <c r="G38" s="5">
        <v>12</v>
      </c>
      <c r="H38" s="5">
        <v>4.5599999999999996</v>
      </c>
      <c r="I38" s="5"/>
      <c r="J38" s="5"/>
      <c r="K38" s="5">
        <v>2.6315789473684212</v>
      </c>
      <c r="L38" s="17"/>
      <c r="M38" s="6">
        <v>75</v>
      </c>
      <c r="N38" s="13"/>
      <c r="O38" s="13">
        <v>-15</v>
      </c>
      <c r="P38" s="13"/>
      <c r="Q38" s="5"/>
      <c r="R38" s="5"/>
      <c r="S38" s="5">
        <v>12</v>
      </c>
      <c r="T38" s="5">
        <v>6</v>
      </c>
      <c r="U38" s="5"/>
      <c r="V38" s="5"/>
      <c r="W38" s="5">
        <v>2</v>
      </c>
      <c r="X38" s="19"/>
      <c r="Y38" s="17"/>
      <c r="Z38" s="5"/>
      <c r="AA38" s="5"/>
      <c r="AB38" s="5"/>
      <c r="AC38" s="5"/>
      <c r="AD38" s="13"/>
      <c r="AE38" s="13" t="s">
        <v>40</v>
      </c>
      <c r="AF38" s="7">
        <v>12</v>
      </c>
      <c r="AG38" s="7">
        <v>2.8</v>
      </c>
      <c r="AH38" s="7">
        <f>AF38/AG38</f>
        <v>4.2857142857142856</v>
      </c>
    </row>
    <row r="39" spans="1:34" x14ac:dyDescent="0.4">
      <c r="A39" s="3"/>
      <c r="C39" s="2">
        <v>-10</v>
      </c>
      <c r="D39" s="2"/>
      <c r="E39" s="5"/>
      <c r="F39" s="5"/>
      <c r="G39" s="29" t="s">
        <v>61</v>
      </c>
      <c r="H39" s="29" t="s">
        <v>61</v>
      </c>
      <c r="I39" s="5"/>
      <c r="J39" s="5"/>
      <c r="K39" s="29" t="s">
        <v>61</v>
      </c>
      <c r="L39" s="17"/>
      <c r="M39" s="6">
        <v>75</v>
      </c>
      <c r="N39" s="13"/>
      <c r="O39" s="13">
        <v>-10</v>
      </c>
      <c r="P39" s="13"/>
      <c r="Q39" s="5"/>
      <c r="R39" s="5"/>
      <c r="S39" s="29" t="s">
        <v>61</v>
      </c>
      <c r="T39" s="29" t="s">
        <v>61</v>
      </c>
      <c r="U39" s="5"/>
      <c r="V39" s="5"/>
      <c r="W39" s="29" t="s">
        <v>61</v>
      </c>
      <c r="X39" s="19"/>
      <c r="Y39" s="17" t="s">
        <v>39</v>
      </c>
      <c r="Z39" s="5">
        <v>12</v>
      </c>
      <c r="AA39" s="5">
        <v>2.91</v>
      </c>
      <c r="AB39" s="5">
        <v>12</v>
      </c>
      <c r="AC39" s="5">
        <v>2.12</v>
      </c>
      <c r="AD39" s="13"/>
    </row>
    <row r="40" spans="1:34" x14ac:dyDescent="0.4">
      <c r="A40" s="3"/>
      <c r="C40" s="2">
        <v>-7</v>
      </c>
      <c r="D40" s="2"/>
      <c r="E40" s="5"/>
      <c r="F40" s="5"/>
      <c r="G40" s="5">
        <v>12</v>
      </c>
      <c r="H40" s="5">
        <v>4</v>
      </c>
      <c r="I40" s="5"/>
      <c r="J40" s="5"/>
      <c r="K40" s="5">
        <v>3</v>
      </c>
      <c r="L40" s="17"/>
      <c r="M40" s="6">
        <v>75</v>
      </c>
      <c r="N40" s="13"/>
      <c r="O40" s="13">
        <v>-7</v>
      </c>
      <c r="P40" s="13"/>
      <c r="Q40" s="5"/>
      <c r="R40" s="5"/>
      <c r="S40" s="5">
        <v>12</v>
      </c>
      <c r="T40" s="5">
        <v>5.53</v>
      </c>
      <c r="U40" s="5"/>
      <c r="V40" s="5"/>
      <c r="W40" s="5">
        <v>2.1699819168173597</v>
      </c>
      <c r="X40" s="19"/>
      <c r="Y40" s="5">
        <f>AA40*(1.029-(0.05*Z40/G42))</f>
        <v>2.7476849999999997</v>
      </c>
      <c r="Z40" s="5">
        <v>10.6</v>
      </c>
      <c r="AA40" s="5">
        <v>2.79</v>
      </c>
      <c r="AB40" s="5">
        <v>10.6</v>
      </c>
      <c r="AC40" s="5">
        <v>2.2200000000000002</v>
      </c>
      <c r="AD40" s="13"/>
      <c r="AE40" s="13"/>
      <c r="AF40" s="19"/>
      <c r="AG40" s="19"/>
      <c r="AH40" s="20"/>
    </row>
    <row r="41" spans="1:34" x14ac:dyDescent="0.4">
      <c r="A41" s="3"/>
      <c r="C41" s="2">
        <v>2</v>
      </c>
      <c r="D41" s="2"/>
      <c r="E41" s="5"/>
      <c r="F41" s="5"/>
      <c r="G41" s="5">
        <v>12</v>
      </c>
      <c r="H41" s="5">
        <v>3.39</v>
      </c>
      <c r="I41" s="5"/>
      <c r="J41" s="5"/>
      <c r="K41" s="5">
        <v>3.5398230088495577</v>
      </c>
      <c r="L41" s="17"/>
      <c r="M41" s="6">
        <v>75</v>
      </c>
      <c r="N41" s="13"/>
      <c r="O41" s="13">
        <v>2</v>
      </c>
      <c r="P41" s="13"/>
      <c r="Q41" s="5"/>
      <c r="R41" s="5"/>
      <c r="S41" s="5">
        <v>12</v>
      </c>
      <c r="T41" s="5">
        <v>4.95</v>
      </c>
      <c r="U41" s="5"/>
      <c r="V41" s="5"/>
      <c r="W41" s="5">
        <v>2.4242424242424243</v>
      </c>
      <c r="X41" s="19"/>
      <c r="Y41" s="5">
        <f>AA41*(0.906-(0.044*Z41/G42))</f>
        <v>4.1020750000000001</v>
      </c>
      <c r="Z41" s="5">
        <v>6.5</v>
      </c>
      <c r="AA41" s="5">
        <v>4.6500000000000004</v>
      </c>
      <c r="AB41" s="5">
        <v>6.5</v>
      </c>
      <c r="AC41" s="5">
        <v>3.65</v>
      </c>
      <c r="AD41" s="13"/>
      <c r="AE41" s="13"/>
      <c r="AF41" s="19"/>
      <c r="AG41" s="19"/>
      <c r="AH41" s="20"/>
    </row>
    <row r="42" spans="1:34" x14ac:dyDescent="0.4">
      <c r="A42" s="3"/>
      <c r="C42" s="2">
        <v>7</v>
      </c>
      <c r="D42" s="2"/>
      <c r="E42" s="5"/>
      <c r="F42" s="5"/>
      <c r="G42" s="5">
        <v>12</v>
      </c>
      <c r="H42" s="5">
        <v>2.37</v>
      </c>
      <c r="I42" s="5"/>
      <c r="J42" s="5"/>
      <c r="K42" s="5">
        <v>5.0632911392405067</v>
      </c>
      <c r="L42" s="17"/>
      <c r="M42" s="6">
        <v>75</v>
      </c>
      <c r="N42" s="13"/>
      <c r="O42" s="13">
        <v>7</v>
      </c>
      <c r="P42" s="13"/>
      <c r="Q42" s="5"/>
      <c r="R42" s="5"/>
      <c r="S42" s="5">
        <v>12</v>
      </c>
      <c r="T42" s="5">
        <v>3.71</v>
      </c>
      <c r="U42" s="5"/>
      <c r="V42" s="5"/>
      <c r="W42" s="5">
        <v>3.2345013477088949</v>
      </c>
      <c r="X42" s="19"/>
      <c r="Y42" s="5">
        <f>K42</f>
        <v>5.0632911392405067</v>
      </c>
      <c r="Z42" s="5">
        <v>5.3</v>
      </c>
      <c r="AA42" s="5">
        <v>6.25</v>
      </c>
      <c r="AB42" s="5">
        <v>4.9000000000000004</v>
      </c>
      <c r="AC42" s="5">
        <v>4.57</v>
      </c>
      <c r="AD42" s="13"/>
      <c r="AE42" s="13"/>
      <c r="AF42" s="19"/>
      <c r="AG42" s="19"/>
      <c r="AH42" s="20"/>
    </row>
    <row r="43" spans="1:34" x14ac:dyDescent="0.4">
      <c r="A43" s="3"/>
      <c r="C43" s="2">
        <v>12</v>
      </c>
      <c r="D43" s="2"/>
      <c r="E43" s="5"/>
      <c r="F43" s="5"/>
      <c r="G43" s="29" t="s">
        <v>61</v>
      </c>
      <c r="H43" s="29" t="s">
        <v>61</v>
      </c>
      <c r="I43" s="5"/>
      <c r="J43" s="5"/>
      <c r="K43" s="29" t="s">
        <v>61</v>
      </c>
      <c r="L43" s="17"/>
      <c r="M43" s="6">
        <v>75</v>
      </c>
      <c r="N43" s="13"/>
      <c r="O43" s="13">
        <v>12</v>
      </c>
      <c r="P43" s="13"/>
      <c r="Q43" s="5"/>
      <c r="R43" s="5"/>
      <c r="S43" s="29" t="s">
        <v>61</v>
      </c>
      <c r="T43" s="29" t="s">
        <v>61</v>
      </c>
      <c r="U43" s="5"/>
      <c r="V43" s="5"/>
      <c r="W43" s="29" t="s">
        <v>61</v>
      </c>
      <c r="X43" s="19"/>
      <c r="Y43" s="17"/>
      <c r="Z43" s="5">
        <v>6.1</v>
      </c>
      <c r="AA43" s="5">
        <v>7.78</v>
      </c>
      <c r="AB43" s="5">
        <v>5.7</v>
      </c>
      <c r="AC43" s="5">
        <v>5.84</v>
      </c>
      <c r="AD43" s="13"/>
      <c r="AE43" s="13"/>
      <c r="AF43" s="19"/>
      <c r="AG43" s="19"/>
      <c r="AH43" s="20"/>
    </row>
    <row r="44" spans="1:34" x14ac:dyDescent="0.4">
      <c r="A44" s="8"/>
      <c r="B44" s="8"/>
      <c r="C44" s="9"/>
      <c r="D44" s="9"/>
      <c r="E44" s="18"/>
      <c r="F44" s="18"/>
      <c r="G44" s="22"/>
      <c r="H44" s="22"/>
      <c r="I44" s="22"/>
      <c r="J44" s="22"/>
      <c r="K44" s="22"/>
      <c r="L44" s="18"/>
      <c r="M44" s="18"/>
      <c r="N44" s="14"/>
      <c r="O44" s="14"/>
      <c r="P44" s="14"/>
      <c r="Q44" s="18"/>
      <c r="R44" s="22"/>
      <c r="S44" s="22"/>
      <c r="T44" s="22"/>
      <c r="U44" s="22"/>
      <c r="V44" s="22"/>
      <c r="W44" s="22"/>
      <c r="X44" s="18"/>
      <c r="Y44" s="22"/>
      <c r="Z44" s="22"/>
      <c r="AA44" s="22"/>
      <c r="AB44" s="22"/>
      <c r="AC44" s="22"/>
      <c r="AD44" s="14"/>
      <c r="AE44" s="14"/>
      <c r="AF44" s="18"/>
      <c r="AG44" s="18"/>
      <c r="AH44" s="18"/>
    </row>
    <row r="45" spans="1:34" x14ac:dyDescent="0.4">
      <c r="A45" s="3" t="s">
        <v>94</v>
      </c>
      <c r="B45" s="1" t="s">
        <v>66</v>
      </c>
      <c r="C45" s="4">
        <v>-28</v>
      </c>
      <c r="D45" s="2"/>
      <c r="E45" s="5"/>
      <c r="F45" s="5"/>
      <c r="G45" s="5"/>
      <c r="H45" s="5"/>
      <c r="I45" s="5"/>
      <c r="J45" s="5"/>
      <c r="K45" s="5"/>
      <c r="L45" s="17"/>
      <c r="M45" s="6">
        <v>55</v>
      </c>
      <c r="N45" s="13"/>
      <c r="O45" s="4">
        <v>-28</v>
      </c>
      <c r="P45" s="13"/>
      <c r="Q45" s="5"/>
      <c r="R45" s="5"/>
      <c r="S45" s="5"/>
      <c r="T45" s="5"/>
      <c r="U45" s="5"/>
      <c r="V45" s="5"/>
      <c r="W45" s="5"/>
      <c r="X45" s="4">
        <v>9</v>
      </c>
      <c r="Y45" s="17"/>
      <c r="Z45" s="5"/>
      <c r="AA45" s="5"/>
      <c r="AB45" s="5"/>
      <c r="AC45" s="5"/>
      <c r="AD45" s="13"/>
      <c r="AE45" s="13" t="s">
        <v>37</v>
      </c>
      <c r="AF45" s="7">
        <v>14.5</v>
      </c>
      <c r="AG45" s="7">
        <v>5.05</v>
      </c>
      <c r="AH45" s="7">
        <f>AF45/AG45</f>
        <v>2.8712871287128712</v>
      </c>
    </row>
    <row r="46" spans="1:34" x14ac:dyDescent="0.4">
      <c r="A46" s="3"/>
      <c r="C46" s="13">
        <v>-25</v>
      </c>
      <c r="D46" s="2"/>
      <c r="E46" s="5"/>
      <c r="F46" s="5"/>
      <c r="G46" s="5">
        <v>14.2</v>
      </c>
      <c r="H46" s="5">
        <v>7.8</v>
      </c>
      <c r="I46" s="5"/>
      <c r="J46" s="5"/>
      <c r="K46" s="5">
        <v>1.8205128205128205</v>
      </c>
      <c r="L46" s="17"/>
      <c r="M46" s="6">
        <v>55</v>
      </c>
      <c r="N46" s="13"/>
      <c r="O46" s="13">
        <v>-25</v>
      </c>
      <c r="P46" s="13"/>
      <c r="Q46" s="5"/>
      <c r="R46" s="5"/>
      <c r="S46" s="5">
        <v>14</v>
      </c>
      <c r="T46" s="5">
        <v>10.53</v>
      </c>
      <c r="U46" s="5"/>
      <c r="V46" s="5"/>
      <c r="W46" s="5">
        <v>1.3295346628679963</v>
      </c>
      <c r="X46" s="19"/>
      <c r="Y46" s="17"/>
      <c r="Z46" s="5"/>
      <c r="AA46" s="5"/>
      <c r="AB46" s="5"/>
      <c r="AC46" s="5"/>
      <c r="AD46" s="13"/>
      <c r="AE46" s="13"/>
      <c r="AF46" s="7"/>
      <c r="AG46" s="7"/>
      <c r="AH46" s="7"/>
    </row>
    <row r="47" spans="1:34" x14ac:dyDescent="0.4">
      <c r="A47" s="46"/>
      <c r="C47" s="13">
        <v>-20</v>
      </c>
      <c r="D47" s="2"/>
      <c r="E47" s="5"/>
      <c r="F47" s="5"/>
      <c r="G47" s="5">
        <v>14.2</v>
      </c>
      <c r="H47" s="5">
        <v>6.1</v>
      </c>
      <c r="I47" s="5"/>
      <c r="J47" s="5"/>
      <c r="K47" s="5">
        <v>2.3278688524590163</v>
      </c>
      <c r="L47" s="17"/>
      <c r="M47" s="6">
        <v>65</v>
      </c>
      <c r="N47" s="13"/>
      <c r="O47" s="13">
        <v>-20</v>
      </c>
      <c r="P47" s="13"/>
      <c r="Q47" s="5"/>
      <c r="R47" s="5"/>
      <c r="S47" s="5">
        <v>14.2</v>
      </c>
      <c r="T47" s="5">
        <v>8.1</v>
      </c>
      <c r="U47" s="5"/>
      <c r="V47" s="5"/>
      <c r="W47" s="5">
        <v>1.7530864197530864</v>
      </c>
      <c r="X47" s="19"/>
      <c r="Y47" s="17"/>
      <c r="Z47" s="5"/>
      <c r="AA47" s="5"/>
      <c r="AB47" s="5"/>
      <c r="AC47" s="5"/>
      <c r="AD47" s="13"/>
      <c r="AE47" s="13" t="s">
        <v>38</v>
      </c>
      <c r="AF47" s="7">
        <v>15.5</v>
      </c>
      <c r="AG47" s="7">
        <v>4.5</v>
      </c>
      <c r="AH47" s="7">
        <f>AF47/AG47</f>
        <v>3.4444444444444446</v>
      </c>
    </row>
    <row r="48" spans="1:34" x14ac:dyDescent="0.4">
      <c r="A48" s="3"/>
      <c r="C48" s="2">
        <v>-15</v>
      </c>
      <c r="D48" s="2"/>
      <c r="E48" s="5"/>
      <c r="F48" s="5"/>
      <c r="G48" s="5">
        <v>16</v>
      </c>
      <c r="H48" s="5">
        <v>6.7</v>
      </c>
      <c r="I48" s="5"/>
      <c r="J48" s="5"/>
      <c r="K48" s="5">
        <v>2.3880597014925371</v>
      </c>
      <c r="L48" s="17"/>
      <c r="M48" s="6">
        <v>75</v>
      </c>
      <c r="N48" s="13"/>
      <c r="O48" s="13">
        <v>-15</v>
      </c>
      <c r="P48" s="13"/>
      <c r="Q48" s="5"/>
      <c r="R48" s="5"/>
      <c r="S48" s="5">
        <v>16</v>
      </c>
      <c r="T48" s="5">
        <v>8.6999999999999993</v>
      </c>
      <c r="U48" s="5"/>
      <c r="V48" s="5"/>
      <c r="W48" s="5">
        <v>1.8390804597701149</v>
      </c>
      <c r="X48" s="19"/>
      <c r="Y48" s="17"/>
      <c r="Z48" s="5"/>
      <c r="AA48" s="5"/>
      <c r="AB48" s="5"/>
      <c r="AC48" s="5"/>
      <c r="AD48" s="13"/>
      <c r="AE48" s="13" t="s">
        <v>40</v>
      </c>
      <c r="AF48" s="7">
        <v>15.5</v>
      </c>
      <c r="AG48" s="7">
        <v>3.95</v>
      </c>
      <c r="AH48" s="7">
        <f>AF48/AG48</f>
        <v>3.9240506329113924</v>
      </c>
    </row>
    <row r="49" spans="1:34" x14ac:dyDescent="0.4">
      <c r="A49" s="3"/>
      <c r="C49" s="2">
        <v>-10</v>
      </c>
      <c r="D49" s="2"/>
      <c r="E49" s="5"/>
      <c r="F49" s="5"/>
      <c r="G49" s="29" t="s">
        <v>61</v>
      </c>
      <c r="H49" s="29" t="s">
        <v>61</v>
      </c>
      <c r="I49" s="5"/>
      <c r="J49" s="5"/>
      <c r="K49" s="29" t="s">
        <v>61</v>
      </c>
      <c r="L49" s="17"/>
      <c r="M49" s="6">
        <v>75</v>
      </c>
      <c r="N49" s="13"/>
      <c r="O49" s="13">
        <v>-10</v>
      </c>
      <c r="P49" s="13"/>
      <c r="Q49" s="5"/>
      <c r="R49" s="5"/>
      <c r="S49" s="29" t="s">
        <v>61</v>
      </c>
      <c r="T49" s="29" t="s">
        <v>61</v>
      </c>
      <c r="U49" s="5"/>
      <c r="V49" s="5"/>
      <c r="W49" s="29" t="s">
        <v>61</v>
      </c>
      <c r="X49" s="19"/>
      <c r="Y49" s="17" t="s">
        <v>39</v>
      </c>
      <c r="Z49" s="5">
        <v>16</v>
      </c>
      <c r="AA49" s="5">
        <v>2.72</v>
      </c>
      <c r="AB49" s="5">
        <v>16</v>
      </c>
      <c r="AC49" s="5">
        <v>2.04</v>
      </c>
      <c r="AD49" s="13"/>
    </row>
    <row r="50" spans="1:34" x14ac:dyDescent="0.4">
      <c r="A50" s="3"/>
      <c r="C50" s="2">
        <v>-7</v>
      </c>
      <c r="D50" s="2"/>
      <c r="E50" s="5"/>
      <c r="F50" s="5"/>
      <c r="G50" s="5">
        <v>16</v>
      </c>
      <c r="H50" s="5">
        <v>6.32</v>
      </c>
      <c r="I50" s="5"/>
      <c r="J50" s="5"/>
      <c r="K50" s="5">
        <v>2.5316455696202533</v>
      </c>
      <c r="L50" s="17"/>
      <c r="M50" s="6">
        <v>75</v>
      </c>
      <c r="N50" s="13"/>
      <c r="O50" s="13">
        <v>-7</v>
      </c>
      <c r="P50" s="13"/>
      <c r="Q50" s="5"/>
      <c r="R50" s="5"/>
      <c r="S50" s="5">
        <v>16</v>
      </c>
      <c r="T50" s="5">
        <v>8.1199999999999992</v>
      </c>
      <c r="U50" s="5"/>
      <c r="V50" s="5"/>
      <c r="W50" s="5">
        <v>1.9704433497536946</v>
      </c>
      <c r="X50" s="19"/>
      <c r="Y50" s="5">
        <f>AA50*(1.029-(0.05*Z50/G52))</f>
        <v>2.8357199999999994</v>
      </c>
      <c r="Z50" s="5">
        <v>14.2</v>
      </c>
      <c r="AA50" s="5">
        <v>2.88</v>
      </c>
      <c r="AB50" s="5">
        <v>14.2</v>
      </c>
      <c r="AC50" s="5">
        <v>2.2200000000000002</v>
      </c>
      <c r="AD50" s="13"/>
      <c r="AE50" s="13"/>
      <c r="AF50" s="19"/>
      <c r="AG50" s="19"/>
      <c r="AH50" s="20"/>
    </row>
    <row r="51" spans="1:34" x14ac:dyDescent="0.4">
      <c r="A51" s="3"/>
      <c r="C51" s="2">
        <v>2</v>
      </c>
      <c r="D51" s="2"/>
      <c r="E51" s="5"/>
      <c r="F51" s="5"/>
      <c r="G51" s="5">
        <v>16</v>
      </c>
      <c r="H51" s="5">
        <v>4.8499999999999996</v>
      </c>
      <c r="I51" s="5"/>
      <c r="J51" s="5"/>
      <c r="K51" s="5">
        <v>3.2989690721649483</v>
      </c>
      <c r="L51" s="17"/>
      <c r="M51" s="6">
        <v>75</v>
      </c>
      <c r="N51" s="13"/>
      <c r="O51" s="13">
        <v>2</v>
      </c>
      <c r="P51" s="13"/>
      <c r="Q51" s="5"/>
      <c r="R51" s="5"/>
      <c r="S51" s="5">
        <v>16</v>
      </c>
      <c r="T51" s="5">
        <v>6.75</v>
      </c>
      <c r="U51" s="5"/>
      <c r="V51" s="5"/>
      <c r="W51" s="5">
        <v>2.3703703703703702</v>
      </c>
      <c r="X51" s="19"/>
      <c r="Y51" s="5">
        <f>AA51*(0.906-(0.044*Z51/G52))</f>
        <v>4.0499865000000002</v>
      </c>
      <c r="Z51" s="5">
        <v>8.6</v>
      </c>
      <c r="AA51" s="5">
        <v>4.59</v>
      </c>
      <c r="AB51" s="5">
        <v>8.6</v>
      </c>
      <c r="AC51" s="5">
        <v>3.66</v>
      </c>
      <c r="AD51" s="13"/>
      <c r="AE51" s="13"/>
      <c r="AF51" s="19"/>
      <c r="AG51" s="19"/>
      <c r="AH51" s="20"/>
    </row>
    <row r="52" spans="1:34" x14ac:dyDescent="0.4">
      <c r="A52" s="3"/>
      <c r="C52" s="2">
        <v>7</v>
      </c>
      <c r="D52" s="2"/>
      <c r="E52" s="5"/>
      <c r="F52" s="5"/>
      <c r="G52" s="5">
        <v>16</v>
      </c>
      <c r="H52" s="5">
        <v>3.27</v>
      </c>
      <c r="I52" s="5"/>
      <c r="J52" s="5"/>
      <c r="K52" s="5">
        <v>4.8929663608562688</v>
      </c>
      <c r="L52" s="17"/>
      <c r="M52" s="6">
        <v>75</v>
      </c>
      <c r="N52" s="13"/>
      <c r="O52" s="13">
        <v>7</v>
      </c>
      <c r="P52" s="13"/>
      <c r="Q52" s="5"/>
      <c r="R52" s="5"/>
      <c r="S52" s="5">
        <v>16</v>
      </c>
      <c r="T52" s="5">
        <v>5</v>
      </c>
      <c r="U52" s="5"/>
      <c r="V52" s="5"/>
      <c r="W52" s="5">
        <v>3.2</v>
      </c>
      <c r="X52" s="19"/>
      <c r="Y52" s="5">
        <f>K52</f>
        <v>4.8929663608562688</v>
      </c>
      <c r="Z52" s="5">
        <v>5.5</v>
      </c>
      <c r="AA52" s="5">
        <v>6.33</v>
      </c>
      <c r="AB52" s="5">
        <v>5.5</v>
      </c>
      <c r="AC52" s="5">
        <v>4.8099999999999996</v>
      </c>
      <c r="AD52" s="13"/>
      <c r="AE52" s="13"/>
      <c r="AF52" s="19"/>
      <c r="AG52" s="19"/>
      <c r="AH52" s="20"/>
    </row>
    <row r="53" spans="1:34" x14ac:dyDescent="0.4">
      <c r="A53" s="3"/>
      <c r="C53" s="2">
        <v>12</v>
      </c>
      <c r="D53" s="2"/>
      <c r="E53" s="5"/>
      <c r="F53" s="5"/>
      <c r="G53" s="29" t="s">
        <v>61</v>
      </c>
      <c r="H53" s="29" t="s">
        <v>61</v>
      </c>
      <c r="I53" s="5"/>
      <c r="J53" s="5"/>
      <c r="K53" s="29" t="s">
        <v>61</v>
      </c>
      <c r="L53" s="17"/>
      <c r="M53" s="6">
        <v>75</v>
      </c>
      <c r="N53" s="13"/>
      <c r="O53" s="13">
        <v>12</v>
      </c>
      <c r="P53" s="13"/>
      <c r="Q53" s="5"/>
      <c r="R53" s="5"/>
      <c r="S53" s="29" t="s">
        <v>61</v>
      </c>
      <c r="T53" s="29" t="s">
        <v>61</v>
      </c>
      <c r="U53" s="5"/>
      <c r="V53" s="5"/>
      <c r="W53" s="29" t="s">
        <v>61</v>
      </c>
      <c r="X53" s="19"/>
      <c r="Y53" s="17"/>
      <c r="Z53" s="5">
        <v>5.8</v>
      </c>
      <c r="AA53" s="5">
        <v>7.83</v>
      </c>
      <c r="AB53" s="5">
        <v>5.5</v>
      </c>
      <c r="AC53" s="5">
        <v>5.78</v>
      </c>
      <c r="AD53" s="13"/>
      <c r="AE53" s="13"/>
      <c r="AF53" s="19"/>
      <c r="AG53" s="19"/>
      <c r="AH53" s="20"/>
    </row>
    <row r="54" spans="1:34" x14ac:dyDescent="0.4">
      <c r="A54" s="8"/>
      <c r="B54" s="8"/>
      <c r="C54" s="9"/>
      <c r="D54" s="9"/>
      <c r="E54" s="18"/>
      <c r="F54" s="18"/>
      <c r="G54" s="22"/>
      <c r="H54" s="22"/>
      <c r="I54" s="22"/>
      <c r="J54" s="22"/>
      <c r="K54" s="22"/>
      <c r="L54" s="18"/>
      <c r="M54" s="18"/>
      <c r="N54" s="14"/>
      <c r="O54" s="14"/>
      <c r="P54" s="14"/>
      <c r="Q54" s="18"/>
      <c r="R54" s="22"/>
      <c r="S54" s="22"/>
      <c r="T54" s="22"/>
      <c r="U54" s="22"/>
      <c r="V54" s="22"/>
      <c r="W54" s="22"/>
      <c r="X54" s="18"/>
      <c r="Y54" s="22"/>
      <c r="Z54" s="22"/>
      <c r="AA54" s="22"/>
      <c r="AB54" s="22"/>
      <c r="AC54" s="22"/>
      <c r="AD54" s="14"/>
      <c r="AE54" s="14"/>
      <c r="AF54" s="18"/>
      <c r="AG54" s="18"/>
      <c r="AH54" s="18"/>
    </row>
    <row r="55" spans="1:34" x14ac:dyDescent="0.4">
      <c r="A55" s="3" t="s">
        <v>95</v>
      </c>
      <c r="B55" s="1" t="s">
        <v>66</v>
      </c>
      <c r="C55" s="4">
        <v>-28</v>
      </c>
      <c r="D55" s="2"/>
      <c r="E55" s="5"/>
      <c r="F55" s="5"/>
      <c r="G55" s="5"/>
      <c r="H55" s="5"/>
      <c r="I55" s="5"/>
      <c r="J55" s="5"/>
      <c r="K55" s="5"/>
      <c r="L55" s="17"/>
      <c r="M55" s="6">
        <v>55</v>
      </c>
      <c r="N55" s="13"/>
      <c r="O55" s="4">
        <v>-28</v>
      </c>
      <c r="P55" s="13"/>
      <c r="Q55" s="5"/>
      <c r="R55" s="5"/>
      <c r="S55" s="5">
        <v>14</v>
      </c>
      <c r="T55" s="5">
        <v>10.53</v>
      </c>
      <c r="U55" s="5"/>
      <c r="V55" s="5"/>
      <c r="W55" s="5">
        <v>1.3295346628679963</v>
      </c>
      <c r="X55" s="4">
        <v>9</v>
      </c>
      <c r="Y55" s="17"/>
      <c r="Z55" s="5"/>
      <c r="AA55" s="5"/>
      <c r="AB55" s="5"/>
      <c r="AC55" s="5"/>
      <c r="AD55" s="13"/>
      <c r="AE55" s="13" t="s">
        <v>37</v>
      </c>
      <c r="AF55" s="7">
        <v>14.5</v>
      </c>
      <c r="AG55" s="7">
        <v>5.05</v>
      </c>
      <c r="AH55" s="7">
        <f>AF55/AG55</f>
        <v>2.8712871287128712</v>
      </c>
    </row>
    <row r="56" spans="1:34" x14ac:dyDescent="0.4">
      <c r="A56" s="3"/>
      <c r="C56" s="13">
        <v>-25</v>
      </c>
      <c r="D56" s="2"/>
      <c r="E56" s="5"/>
      <c r="F56" s="5"/>
      <c r="G56" s="5">
        <v>14.2</v>
      </c>
      <c r="H56" s="5">
        <v>7.8</v>
      </c>
      <c r="I56" s="5"/>
      <c r="J56" s="5"/>
      <c r="K56" s="5">
        <v>1.8205128205128205</v>
      </c>
      <c r="L56" s="17"/>
      <c r="M56" s="6">
        <v>55</v>
      </c>
      <c r="N56" s="13"/>
      <c r="O56" s="13">
        <v>-25</v>
      </c>
      <c r="P56" s="13"/>
      <c r="Q56" s="5"/>
      <c r="R56" s="5"/>
      <c r="S56" s="5"/>
      <c r="T56" s="5"/>
      <c r="U56" s="5"/>
      <c r="V56" s="5"/>
      <c r="W56" s="5"/>
      <c r="X56" s="19"/>
      <c r="Y56" s="17"/>
      <c r="Z56" s="5"/>
      <c r="AA56" s="5"/>
      <c r="AB56" s="5"/>
      <c r="AC56" s="5"/>
      <c r="AD56" s="13"/>
      <c r="AE56" s="13"/>
      <c r="AF56" s="7"/>
      <c r="AG56" s="7"/>
      <c r="AH56" s="7"/>
    </row>
    <row r="57" spans="1:34" x14ac:dyDescent="0.4">
      <c r="A57" s="46"/>
      <c r="C57" s="13">
        <v>-20</v>
      </c>
      <c r="D57" s="2"/>
      <c r="E57" s="5"/>
      <c r="F57" s="5"/>
      <c r="G57" s="5">
        <v>14.2</v>
      </c>
      <c r="H57" s="5">
        <v>6.1</v>
      </c>
      <c r="I57" s="5"/>
      <c r="J57" s="5"/>
      <c r="K57" s="5">
        <v>2.3278688524590163</v>
      </c>
      <c r="L57" s="17"/>
      <c r="M57" s="6">
        <v>65</v>
      </c>
      <c r="N57" s="13"/>
      <c r="O57" s="13">
        <v>-20</v>
      </c>
      <c r="P57" s="13"/>
      <c r="Q57" s="5"/>
      <c r="R57" s="5"/>
      <c r="S57" s="5">
        <v>14.2</v>
      </c>
      <c r="T57" s="5">
        <v>8.1</v>
      </c>
      <c r="U57" s="5"/>
      <c r="V57" s="5"/>
      <c r="W57" s="5">
        <v>1.7530864197530864</v>
      </c>
      <c r="X57" s="19"/>
      <c r="Y57" s="17"/>
      <c r="Z57" s="5"/>
      <c r="AA57" s="5"/>
      <c r="AB57" s="5"/>
      <c r="AC57" s="5"/>
      <c r="AD57" s="13"/>
      <c r="AE57" s="13" t="s">
        <v>38</v>
      </c>
      <c r="AF57" s="7">
        <v>15.5</v>
      </c>
      <c r="AG57" s="7">
        <v>4.5</v>
      </c>
      <c r="AH57" s="7">
        <f>AF57/AG57</f>
        <v>3.4444444444444446</v>
      </c>
    </row>
    <row r="58" spans="1:34" x14ac:dyDescent="0.4">
      <c r="A58" s="3"/>
      <c r="C58" s="2">
        <v>-15</v>
      </c>
      <c r="D58" s="2"/>
      <c r="E58" s="5"/>
      <c r="F58" s="5"/>
      <c r="G58" s="5">
        <v>16</v>
      </c>
      <c r="H58" s="5">
        <v>6.7</v>
      </c>
      <c r="I58" s="5"/>
      <c r="J58" s="5"/>
      <c r="K58" s="5">
        <v>2.3880597014925371</v>
      </c>
      <c r="L58" s="17"/>
      <c r="M58" s="6">
        <v>75</v>
      </c>
      <c r="N58" s="13"/>
      <c r="O58" s="13">
        <v>-15</v>
      </c>
      <c r="P58" s="13"/>
      <c r="Q58" s="5"/>
      <c r="R58" s="5"/>
      <c r="S58" s="5">
        <v>16</v>
      </c>
      <c r="T58" s="5">
        <v>8.6999999999999993</v>
      </c>
      <c r="U58" s="5"/>
      <c r="V58" s="5"/>
      <c r="W58" s="5">
        <v>1.8390804597701149</v>
      </c>
      <c r="X58" s="19"/>
      <c r="Y58" s="17"/>
      <c r="Z58" s="5"/>
      <c r="AA58" s="5"/>
      <c r="AB58" s="5"/>
      <c r="AC58" s="5"/>
      <c r="AD58" s="13"/>
      <c r="AE58" s="13" t="s">
        <v>40</v>
      </c>
      <c r="AF58" s="7">
        <v>15.5</v>
      </c>
      <c r="AG58" s="7">
        <v>3.95</v>
      </c>
      <c r="AH58" s="7">
        <f>AF58/AG58</f>
        <v>3.9240506329113924</v>
      </c>
    </row>
    <row r="59" spans="1:34" x14ac:dyDescent="0.4">
      <c r="A59" s="3"/>
      <c r="C59" s="2">
        <v>-10</v>
      </c>
      <c r="D59" s="2"/>
      <c r="E59" s="5"/>
      <c r="F59" s="5"/>
      <c r="G59" s="29" t="s">
        <v>61</v>
      </c>
      <c r="H59" s="29" t="s">
        <v>61</v>
      </c>
      <c r="I59" s="5"/>
      <c r="J59" s="5"/>
      <c r="K59" s="29" t="s">
        <v>61</v>
      </c>
      <c r="L59" s="17"/>
      <c r="M59" s="6">
        <v>75</v>
      </c>
      <c r="N59" s="13"/>
      <c r="O59" s="13">
        <v>-10</v>
      </c>
      <c r="P59" s="13"/>
      <c r="Q59" s="5"/>
      <c r="R59" s="5"/>
      <c r="S59" s="29" t="s">
        <v>61</v>
      </c>
      <c r="T59" s="29" t="s">
        <v>61</v>
      </c>
      <c r="U59" s="5"/>
      <c r="V59" s="5"/>
      <c r="W59" s="29" t="s">
        <v>61</v>
      </c>
      <c r="X59" s="19"/>
      <c r="Y59" s="17" t="s">
        <v>39</v>
      </c>
      <c r="Z59" s="5">
        <v>16</v>
      </c>
      <c r="AA59" s="5">
        <v>2.72</v>
      </c>
      <c r="AB59" s="5">
        <v>16</v>
      </c>
      <c r="AC59" s="5">
        <v>2.04</v>
      </c>
      <c r="AD59" s="13"/>
    </row>
    <row r="60" spans="1:34" x14ac:dyDescent="0.4">
      <c r="A60" s="3"/>
      <c r="C60" s="2">
        <v>-7</v>
      </c>
      <c r="D60" s="2"/>
      <c r="E60" s="5"/>
      <c r="F60" s="5"/>
      <c r="G60" s="5">
        <v>16</v>
      </c>
      <c r="H60" s="5">
        <v>6.32</v>
      </c>
      <c r="I60" s="5"/>
      <c r="J60" s="5"/>
      <c r="K60" s="5">
        <v>2.5316455696202533</v>
      </c>
      <c r="L60" s="17"/>
      <c r="M60" s="6">
        <v>75</v>
      </c>
      <c r="N60" s="13"/>
      <c r="O60" s="13">
        <v>-7</v>
      </c>
      <c r="P60" s="13"/>
      <c r="Q60" s="5"/>
      <c r="R60" s="5"/>
      <c r="S60" s="5">
        <v>16</v>
      </c>
      <c r="T60" s="5">
        <v>8.1199999999999992</v>
      </c>
      <c r="U60" s="5"/>
      <c r="V60" s="5"/>
      <c r="W60" s="5">
        <v>1.9704433497536946</v>
      </c>
      <c r="X60" s="19"/>
      <c r="Y60" s="5">
        <f>AA60*(1.029-(0.05*Z60/G62))</f>
        <v>2.8357199999999994</v>
      </c>
      <c r="Z60" s="5">
        <v>14.2</v>
      </c>
      <c r="AA60" s="5">
        <v>2.88</v>
      </c>
      <c r="AB60" s="5">
        <v>14.2</v>
      </c>
      <c r="AC60" s="5">
        <v>2.2200000000000002</v>
      </c>
      <c r="AD60" s="13"/>
      <c r="AE60" s="13"/>
      <c r="AF60" s="19"/>
      <c r="AG60" s="19"/>
      <c r="AH60" s="20"/>
    </row>
    <row r="61" spans="1:34" x14ac:dyDescent="0.4">
      <c r="A61" s="3"/>
      <c r="C61" s="2">
        <v>2</v>
      </c>
      <c r="D61" s="2"/>
      <c r="E61" s="5"/>
      <c r="F61" s="5"/>
      <c r="G61" s="5">
        <v>16</v>
      </c>
      <c r="H61" s="5">
        <v>4.8499999999999996</v>
      </c>
      <c r="I61" s="5"/>
      <c r="J61" s="5"/>
      <c r="K61" s="5">
        <v>3.2989690721649483</v>
      </c>
      <c r="L61" s="17"/>
      <c r="M61" s="6">
        <v>75</v>
      </c>
      <c r="N61" s="13"/>
      <c r="O61" s="13">
        <v>2</v>
      </c>
      <c r="P61" s="13"/>
      <c r="Q61" s="5"/>
      <c r="R61" s="5"/>
      <c r="S61" s="5">
        <v>16</v>
      </c>
      <c r="T61" s="5">
        <v>6.75</v>
      </c>
      <c r="U61" s="5"/>
      <c r="V61" s="5"/>
      <c r="W61" s="5">
        <v>2.3703703703703702</v>
      </c>
      <c r="X61" s="19"/>
      <c r="Y61" s="5">
        <f>AA61*(0.906-(0.044*Z61/G62))</f>
        <v>4.0499865000000002</v>
      </c>
      <c r="Z61" s="5">
        <v>8.6</v>
      </c>
      <c r="AA61" s="5">
        <v>4.59</v>
      </c>
      <c r="AB61" s="5">
        <v>8.6</v>
      </c>
      <c r="AC61" s="5">
        <v>3.66</v>
      </c>
      <c r="AD61" s="13"/>
      <c r="AE61" s="13"/>
      <c r="AF61" s="13"/>
      <c r="AG61" s="13"/>
      <c r="AH61" s="15"/>
    </row>
    <row r="62" spans="1:34" x14ac:dyDescent="0.4">
      <c r="A62" s="3"/>
      <c r="C62" s="2">
        <v>7</v>
      </c>
      <c r="D62" s="2"/>
      <c r="E62" s="5"/>
      <c r="F62" s="5"/>
      <c r="G62" s="5">
        <v>16</v>
      </c>
      <c r="H62" s="5">
        <v>3.27</v>
      </c>
      <c r="I62" s="5"/>
      <c r="J62" s="5"/>
      <c r="K62" s="5">
        <v>4.8929663608562688</v>
      </c>
      <c r="L62" s="17"/>
      <c r="M62" s="6">
        <v>75</v>
      </c>
      <c r="N62" s="13"/>
      <c r="O62" s="13">
        <v>7</v>
      </c>
      <c r="P62" s="13"/>
      <c r="Q62" s="5"/>
      <c r="R62" s="5"/>
      <c r="S62" s="5">
        <v>16</v>
      </c>
      <c r="T62" s="5">
        <v>5</v>
      </c>
      <c r="U62" s="5"/>
      <c r="V62" s="5"/>
      <c r="W62" s="5">
        <v>3.2</v>
      </c>
      <c r="X62" s="19"/>
      <c r="Y62" s="5">
        <f>K62</f>
        <v>4.8929663608562688</v>
      </c>
      <c r="Z62" s="5">
        <v>5.5</v>
      </c>
      <c r="AA62" s="5">
        <v>6.33</v>
      </c>
      <c r="AB62" s="5">
        <v>5.5</v>
      </c>
      <c r="AC62" s="5">
        <v>4.8099999999999996</v>
      </c>
      <c r="AD62" s="13"/>
      <c r="AE62" s="13"/>
      <c r="AF62" s="13"/>
      <c r="AG62" s="13"/>
      <c r="AH62" s="15"/>
    </row>
    <row r="63" spans="1:34" x14ac:dyDescent="0.4">
      <c r="A63" s="3"/>
      <c r="C63" s="2">
        <v>12</v>
      </c>
      <c r="D63" s="2"/>
      <c r="E63" s="5"/>
      <c r="F63" s="5"/>
      <c r="G63" s="29" t="s">
        <v>61</v>
      </c>
      <c r="H63" s="29" t="s">
        <v>61</v>
      </c>
      <c r="I63" s="5"/>
      <c r="J63" s="5"/>
      <c r="K63" s="29" t="s">
        <v>61</v>
      </c>
      <c r="L63" s="17"/>
      <c r="M63" s="6">
        <v>75</v>
      </c>
      <c r="N63" s="13"/>
      <c r="O63" s="13">
        <v>12</v>
      </c>
      <c r="P63" s="13"/>
      <c r="Q63" s="5"/>
      <c r="R63" s="5"/>
      <c r="S63" s="29" t="s">
        <v>61</v>
      </c>
      <c r="T63" s="29" t="s">
        <v>61</v>
      </c>
      <c r="U63" s="5"/>
      <c r="V63" s="5"/>
      <c r="W63" s="29" t="s">
        <v>61</v>
      </c>
      <c r="X63" s="19"/>
      <c r="Y63" s="17"/>
      <c r="Z63" s="5">
        <v>5.8</v>
      </c>
      <c r="AA63" s="5">
        <v>7.83</v>
      </c>
      <c r="AB63" s="5">
        <v>5.5</v>
      </c>
      <c r="AC63" s="5">
        <v>5.78</v>
      </c>
      <c r="AD63" s="13"/>
      <c r="AE63" s="13"/>
      <c r="AF63" s="13"/>
      <c r="AG63" s="13"/>
      <c r="AH63" s="15"/>
    </row>
    <row r="64" spans="1:34" x14ac:dyDescent="0.4">
      <c r="A64" s="8"/>
      <c r="B64" s="8"/>
      <c r="C64" s="9"/>
      <c r="D64" s="9"/>
      <c r="E64" s="18"/>
      <c r="F64" s="18"/>
      <c r="G64" s="38"/>
      <c r="H64" s="37"/>
      <c r="I64" s="22"/>
      <c r="J64" s="22"/>
      <c r="K64" s="37"/>
      <c r="L64" s="18"/>
      <c r="M64" s="14"/>
      <c r="N64" s="14"/>
      <c r="O64" s="14"/>
      <c r="P64" s="14"/>
      <c r="Q64" s="18"/>
      <c r="R64" s="22"/>
      <c r="S64" s="22"/>
      <c r="T64" s="22"/>
      <c r="U64" s="22"/>
      <c r="V64" s="22"/>
      <c r="W64" s="22"/>
      <c r="X64" s="14"/>
      <c r="Y64" s="22"/>
      <c r="Z64" s="22"/>
      <c r="AA64" s="22"/>
      <c r="AB64" s="22"/>
      <c r="AC64" s="22"/>
      <c r="AD64" s="14"/>
      <c r="AE64" s="14"/>
      <c r="AF64" s="14"/>
      <c r="AG64" s="14"/>
      <c r="AH64" s="14"/>
    </row>
    <row r="65" spans="1:34" s="1" customFormat="1" x14ac:dyDescent="0.4">
      <c r="A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s="15"/>
      <c r="AG65" s="15"/>
      <c r="AH65" s="15"/>
    </row>
    <row r="66" spans="1:34" x14ac:dyDescent="0.4">
      <c r="A66" s="47" t="s">
        <v>41</v>
      </c>
    </row>
    <row r="68" spans="1:34" x14ac:dyDescent="0.4">
      <c r="A68" t="s">
        <v>96</v>
      </c>
    </row>
    <row r="69" spans="1:34" x14ac:dyDescent="0.4">
      <c r="A69" t="s">
        <v>97</v>
      </c>
    </row>
    <row r="71" spans="1:34" x14ac:dyDescent="0.4">
      <c r="A71" t="s">
        <v>98</v>
      </c>
    </row>
    <row r="72" spans="1:34" x14ac:dyDescent="0.4">
      <c r="A72" t="s">
        <v>99</v>
      </c>
    </row>
    <row r="74" spans="1:34" x14ac:dyDescent="0.4">
      <c r="A74" t="s">
        <v>100</v>
      </c>
    </row>
    <row r="75" spans="1:34" x14ac:dyDescent="0.4">
      <c r="A75" t="s">
        <v>101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2380-7F11-44C6-B870-728159CF8FA5}">
  <sheetPr>
    <tabColor theme="5"/>
  </sheetPr>
  <dimension ref="A1:AJ124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17" sqref="AZ17"/>
    </sheetView>
  </sheetViews>
  <sheetFormatPr baseColWidth="10" defaultColWidth="11.4609375" defaultRowHeight="14.6" x14ac:dyDescent="0.4"/>
  <cols>
    <col min="1" max="1" width="13.4609375" style="1" customWidth="1"/>
    <col min="2" max="2" width="27.23046875" style="1" bestFit="1" customWidth="1"/>
    <col min="3" max="3" width="13.4609375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7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/>
      <c r="B5" s="1" t="s">
        <v>68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3"/>
      <c r="O5" s="4">
        <v>-28</v>
      </c>
      <c r="P5" s="13"/>
      <c r="Q5" s="5"/>
      <c r="R5" s="5"/>
      <c r="S5" s="5"/>
      <c r="T5" s="5"/>
      <c r="U5" s="5"/>
      <c r="V5" s="5"/>
      <c r="W5" s="5"/>
      <c r="X5" s="4">
        <v>0</v>
      </c>
      <c r="Y5" s="17"/>
      <c r="Z5" s="5"/>
      <c r="AA5" s="5"/>
      <c r="AB5" s="5"/>
      <c r="AC5" s="5"/>
      <c r="AD5" s="13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46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17"/>
      <c r="M6" s="6">
        <v>55</v>
      </c>
      <c r="N6" s="13"/>
      <c r="O6" s="13">
        <v>-25</v>
      </c>
      <c r="P6" s="13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3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3"/>
      <c r="O7" s="13">
        <v>-20</v>
      </c>
      <c r="P7" s="13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3"/>
      <c r="Y7" s="17"/>
      <c r="Z7" s="5"/>
      <c r="AA7" s="5"/>
      <c r="AB7" s="5"/>
      <c r="AC7" s="5"/>
      <c r="AD7" s="13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3"/>
      <c r="O8" s="13">
        <v>-15</v>
      </c>
      <c r="P8" s="13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3"/>
      <c r="Y8" s="17"/>
      <c r="Z8" s="5"/>
      <c r="AA8" s="5"/>
      <c r="AB8" s="5"/>
      <c r="AC8" s="5"/>
      <c r="AD8" s="13"/>
      <c r="AE8" s="13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3"/>
      <c r="O9" s="13">
        <v>-10</v>
      </c>
      <c r="P9" s="13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3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3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3"/>
      <c r="O10" s="13">
        <v>-7</v>
      </c>
      <c r="P10" s="13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3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3"/>
      <c r="AE10" s="13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3"/>
      <c r="O11" s="13">
        <v>2</v>
      </c>
      <c r="P11" s="13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3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3"/>
      <c r="AE11" s="13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3"/>
      <c r="O12" s="13">
        <v>7</v>
      </c>
      <c r="P12" s="13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3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3"/>
      <c r="AE12" s="13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3"/>
      <c r="O13" s="13">
        <v>12</v>
      </c>
      <c r="P13" s="13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3"/>
      <c r="Y13" s="17"/>
      <c r="Z13" s="5">
        <v>5.7</v>
      </c>
      <c r="AA13" s="5">
        <v>7.8</v>
      </c>
      <c r="AB13" s="5">
        <v>5.6</v>
      </c>
      <c r="AC13" s="5">
        <v>5.78</v>
      </c>
      <c r="AD13" s="13"/>
      <c r="AE13" s="13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22"/>
      <c r="H14" s="22"/>
      <c r="I14" s="22"/>
      <c r="J14" s="22"/>
      <c r="K14" s="22"/>
      <c r="L14" s="18"/>
      <c r="M14" s="18"/>
      <c r="N14" s="14"/>
      <c r="O14" s="14"/>
      <c r="P14" s="14"/>
      <c r="Q14" s="18"/>
      <c r="R14" s="22"/>
      <c r="S14" s="22"/>
      <c r="T14" s="22"/>
      <c r="U14" s="22"/>
      <c r="V14" s="22"/>
      <c r="W14" s="22"/>
      <c r="X14" s="18"/>
      <c r="Y14" s="22"/>
      <c r="Z14" s="22"/>
      <c r="AA14" s="22"/>
      <c r="AB14" s="22"/>
      <c r="AC14" s="22"/>
      <c r="AD14" s="18"/>
      <c r="AE14" s="14"/>
      <c r="AF14" s="18"/>
      <c r="AG14" s="18"/>
      <c r="AH14" s="18"/>
    </row>
    <row r="15" spans="1:34" x14ac:dyDescent="0.4">
      <c r="A15" s="3"/>
      <c r="B15" s="1" t="s">
        <v>67</v>
      </c>
      <c r="C15" s="4">
        <v>-28</v>
      </c>
      <c r="D15" s="2"/>
      <c r="E15" s="5"/>
      <c r="F15" s="5"/>
      <c r="G15" s="5"/>
      <c r="H15" s="5"/>
      <c r="I15" s="5"/>
      <c r="J15" s="5"/>
      <c r="K15" s="5"/>
      <c r="L15" s="17"/>
      <c r="M15" s="6">
        <v>55</v>
      </c>
      <c r="N15" s="13"/>
      <c r="O15" s="4">
        <v>-28</v>
      </c>
      <c r="P15" s="13"/>
      <c r="Q15" s="5"/>
      <c r="R15" s="5"/>
      <c r="S15" s="5"/>
      <c r="T15" s="5"/>
      <c r="U15" s="5"/>
      <c r="V15" s="5"/>
      <c r="W15" s="5"/>
      <c r="X15" s="4">
        <v>0</v>
      </c>
      <c r="Y15" s="17"/>
      <c r="Z15" s="5"/>
      <c r="AA15" s="5"/>
      <c r="AB15" s="5"/>
      <c r="AC15" s="5"/>
      <c r="AD15" s="13"/>
      <c r="AE15" s="13" t="s">
        <v>37</v>
      </c>
      <c r="AF15" s="7">
        <v>12</v>
      </c>
      <c r="AG15" s="7">
        <v>4.21</v>
      </c>
      <c r="AH15" s="7">
        <f>AF15/AG15</f>
        <v>2.8503562945368173</v>
      </c>
    </row>
    <row r="16" spans="1:34" x14ac:dyDescent="0.4">
      <c r="A16" s="46"/>
      <c r="C16" s="13">
        <v>-25</v>
      </c>
      <c r="D16" s="2"/>
      <c r="E16" s="5"/>
      <c r="F16" s="5"/>
      <c r="G16" s="5">
        <v>10.5</v>
      </c>
      <c r="H16" s="5">
        <v>5.55</v>
      </c>
      <c r="I16" s="5"/>
      <c r="J16" s="5"/>
      <c r="K16" s="5">
        <v>1.8918918918918919</v>
      </c>
      <c r="L16" s="17"/>
      <c r="M16" s="6">
        <v>55</v>
      </c>
      <c r="N16" s="13"/>
      <c r="O16" s="13">
        <v>-25</v>
      </c>
      <c r="P16" s="13"/>
      <c r="Q16" s="5"/>
      <c r="R16" s="5"/>
      <c r="S16" s="5">
        <v>9.6999999999999993</v>
      </c>
      <c r="T16" s="5">
        <v>7.4</v>
      </c>
      <c r="U16" s="5"/>
      <c r="V16" s="5"/>
      <c r="W16" s="5">
        <v>1.3108108108108107</v>
      </c>
      <c r="X16" s="19"/>
      <c r="Y16" s="17"/>
      <c r="Z16" s="5"/>
      <c r="AA16" s="5"/>
      <c r="AB16" s="5"/>
      <c r="AC16" s="5"/>
      <c r="AD16" s="13"/>
      <c r="AE16" s="13"/>
      <c r="AF16" s="7"/>
      <c r="AG16" s="7"/>
      <c r="AH16" s="7"/>
    </row>
    <row r="17" spans="1:34" x14ac:dyDescent="0.4">
      <c r="A17" s="3"/>
      <c r="C17" s="13">
        <v>-20</v>
      </c>
      <c r="D17" s="2"/>
      <c r="E17" s="5"/>
      <c r="F17" s="5"/>
      <c r="G17" s="5">
        <v>11.2</v>
      </c>
      <c r="H17" s="5">
        <v>4.75</v>
      </c>
      <c r="I17" s="5"/>
      <c r="J17" s="5"/>
      <c r="K17" s="5">
        <v>2.357894736842105</v>
      </c>
      <c r="L17" s="17"/>
      <c r="M17" s="6">
        <v>65</v>
      </c>
      <c r="N17" s="13"/>
      <c r="O17" s="13">
        <v>-20</v>
      </c>
      <c r="P17" s="13"/>
      <c r="Q17" s="5"/>
      <c r="R17" s="5"/>
      <c r="S17" s="5">
        <v>10.8</v>
      </c>
      <c r="T17" s="5">
        <v>6.45</v>
      </c>
      <c r="U17" s="5"/>
      <c r="V17" s="5"/>
      <c r="W17" s="5">
        <v>1.6744186046511629</v>
      </c>
      <c r="X17" s="19"/>
      <c r="Y17" s="17"/>
      <c r="Z17" s="5"/>
      <c r="AA17" s="5"/>
      <c r="AB17" s="5"/>
      <c r="AC17" s="5"/>
      <c r="AD17" s="13"/>
      <c r="AE17" s="13" t="s">
        <v>38</v>
      </c>
      <c r="AF17" s="7">
        <v>13.2</v>
      </c>
      <c r="AG17" s="7">
        <v>3.25</v>
      </c>
      <c r="AH17" s="7">
        <f>AF17/AG17</f>
        <v>4.0615384615384613</v>
      </c>
    </row>
    <row r="18" spans="1:34" x14ac:dyDescent="0.4">
      <c r="A18" s="3"/>
      <c r="C18" s="2">
        <v>-15</v>
      </c>
      <c r="D18" s="2"/>
      <c r="E18" s="5"/>
      <c r="F18" s="5"/>
      <c r="G18" s="5">
        <v>12</v>
      </c>
      <c r="H18" s="5">
        <v>4.5599999999999996</v>
      </c>
      <c r="I18" s="5"/>
      <c r="J18" s="5"/>
      <c r="K18" s="5">
        <v>2.6315789473684212</v>
      </c>
      <c r="L18" s="17"/>
      <c r="M18" s="6">
        <v>75</v>
      </c>
      <c r="N18" s="13"/>
      <c r="O18" s="13">
        <v>-15</v>
      </c>
      <c r="P18" s="13"/>
      <c r="Q18" s="5"/>
      <c r="R18" s="5"/>
      <c r="S18" s="5">
        <v>12</v>
      </c>
      <c r="T18" s="5">
        <v>6</v>
      </c>
      <c r="U18" s="5"/>
      <c r="V18" s="5"/>
      <c r="W18" s="5">
        <v>2</v>
      </c>
      <c r="X18" s="19"/>
      <c r="Y18" s="17"/>
      <c r="Z18" s="5"/>
      <c r="AA18" s="5"/>
      <c r="AB18" s="5"/>
      <c r="AC18" s="5"/>
      <c r="AD18" s="13"/>
      <c r="AE18" s="13" t="s">
        <v>40</v>
      </c>
      <c r="AF18" s="7">
        <v>12</v>
      </c>
      <c r="AG18" s="7">
        <v>2.8</v>
      </c>
      <c r="AH18" s="7">
        <f>AF18/AG18</f>
        <v>4.2857142857142856</v>
      </c>
    </row>
    <row r="19" spans="1:34" x14ac:dyDescent="0.4">
      <c r="A19" s="3"/>
      <c r="C19" s="2">
        <v>-10</v>
      </c>
      <c r="D19" s="2"/>
      <c r="E19" s="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3"/>
      <c r="O19" s="13">
        <v>-10</v>
      </c>
      <c r="P19" s="13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9"/>
      <c r="Y19" s="17" t="s">
        <v>39</v>
      </c>
      <c r="Z19" s="5">
        <v>12</v>
      </c>
      <c r="AA19" s="5">
        <v>2.91</v>
      </c>
      <c r="AB19" s="5">
        <v>12</v>
      </c>
      <c r="AC19" s="5">
        <v>2.12</v>
      </c>
      <c r="AD19" s="13"/>
    </row>
    <row r="20" spans="1:34" x14ac:dyDescent="0.4">
      <c r="A20" s="3"/>
      <c r="C20" s="2">
        <v>-7</v>
      </c>
      <c r="D20" s="2"/>
      <c r="E20" s="5"/>
      <c r="F20" s="5"/>
      <c r="G20" s="5">
        <v>12</v>
      </c>
      <c r="H20" s="5">
        <v>4</v>
      </c>
      <c r="I20" s="5"/>
      <c r="J20" s="5"/>
      <c r="K20" s="5">
        <v>3</v>
      </c>
      <c r="L20" s="17"/>
      <c r="M20" s="6">
        <v>75</v>
      </c>
      <c r="N20" s="13"/>
      <c r="O20" s="13">
        <v>-7</v>
      </c>
      <c r="P20" s="13"/>
      <c r="Q20" s="5"/>
      <c r="R20" s="5"/>
      <c r="S20" s="5">
        <v>12</v>
      </c>
      <c r="T20" s="5">
        <v>5.53</v>
      </c>
      <c r="U20" s="5"/>
      <c r="V20" s="5"/>
      <c r="W20" s="5">
        <v>2.1699819168173597</v>
      </c>
      <c r="X20" s="19"/>
      <c r="Y20" s="5">
        <f>AA20*(1.029-(0.05*Z20/G22))</f>
        <v>2.7476849999999997</v>
      </c>
      <c r="Z20" s="5">
        <v>10.6</v>
      </c>
      <c r="AA20" s="5">
        <v>2.79</v>
      </c>
      <c r="AB20" s="5">
        <v>10.6</v>
      </c>
      <c r="AC20" s="5">
        <v>2.2200000000000002</v>
      </c>
      <c r="AD20" s="13"/>
      <c r="AE20" s="13"/>
      <c r="AF20" s="19"/>
      <c r="AG20" s="19"/>
      <c r="AH20" s="20"/>
    </row>
    <row r="21" spans="1:34" x14ac:dyDescent="0.4">
      <c r="A21" s="3"/>
      <c r="C21" s="2">
        <v>2</v>
      </c>
      <c r="D21" s="2"/>
      <c r="E21" s="5"/>
      <c r="F21" s="5"/>
      <c r="G21" s="5">
        <v>12</v>
      </c>
      <c r="H21" s="5">
        <v>3.39</v>
      </c>
      <c r="I21" s="5"/>
      <c r="J21" s="5"/>
      <c r="K21" s="5">
        <v>3.5398230088495577</v>
      </c>
      <c r="L21" s="17"/>
      <c r="M21" s="6">
        <v>75</v>
      </c>
      <c r="N21" s="13"/>
      <c r="O21" s="13">
        <v>2</v>
      </c>
      <c r="P21" s="13"/>
      <c r="Q21" s="5"/>
      <c r="R21" s="5"/>
      <c r="S21" s="5">
        <v>12</v>
      </c>
      <c r="T21" s="5">
        <v>4.95</v>
      </c>
      <c r="U21" s="5"/>
      <c r="V21" s="5"/>
      <c r="W21" s="5">
        <v>2.4242424242424243</v>
      </c>
      <c r="X21" s="19"/>
      <c r="Y21" s="5">
        <f>AA21*(0.906-(0.044*Z21/G22))</f>
        <v>4.1020750000000001</v>
      </c>
      <c r="Z21" s="5">
        <v>6.5</v>
      </c>
      <c r="AA21" s="5">
        <v>4.6500000000000004</v>
      </c>
      <c r="AB21" s="5">
        <v>6.5</v>
      </c>
      <c r="AC21" s="5">
        <v>3.65</v>
      </c>
      <c r="AD21" s="13"/>
      <c r="AE21" s="13"/>
      <c r="AF21" s="19"/>
      <c r="AG21" s="19"/>
      <c r="AH21" s="20"/>
    </row>
    <row r="22" spans="1:34" x14ac:dyDescent="0.4">
      <c r="A22" s="3"/>
      <c r="C22" s="2">
        <v>7</v>
      </c>
      <c r="D22" s="2"/>
      <c r="E22" s="5"/>
      <c r="F22" s="5"/>
      <c r="G22" s="5">
        <v>12</v>
      </c>
      <c r="H22" s="5">
        <v>2.37</v>
      </c>
      <c r="I22" s="5"/>
      <c r="J22" s="5"/>
      <c r="K22" s="5">
        <v>5.0632911392405067</v>
      </c>
      <c r="L22" s="17"/>
      <c r="M22" s="6">
        <v>75</v>
      </c>
      <c r="N22" s="13"/>
      <c r="O22" s="13">
        <v>7</v>
      </c>
      <c r="P22" s="13"/>
      <c r="Q22" s="5"/>
      <c r="R22" s="5"/>
      <c r="S22" s="5">
        <v>12</v>
      </c>
      <c r="T22" s="5">
        <v>3.71</v>
      </c>
      <c r="U22" s="5"/>
      <c r="V22" s="5"/>
      <c r="W22" s="5">
        <v>3.2345013477088949</v>
      </c>
      <c r="X22" s="19"/>
      <c r="Y22" s="5">
        <f>K22</f>
        <v>5.0632911392405067</v>
      </c>
      <c r="Z22" s="5">
        <v>5.3</v>
      </c>
      <c r="AA22" s="5">
        <v>6.25</v>
      </c>
      <c r="AB22" s="5">
        <v>4.9000000000000004</v>
      </c>
      <c r="AC22" s="5">
        <v>4.57</v>
      </c>
      <c r="AD22" s="13"/>
      <c r="AE22" s="13"/>
      <c r="AF22" s="19"/>
      <c r="AG22" s="19"/>
      <c r="AH22" s="20"/>
    </row>
    <row r="23" spans="1:34" x14ac:dyDescent="0.4">
      <c r="A23" s="3"/>
      <c r="C23" s="2">
        <v>12</v>
      </c>
      <c r="D23" s="2"/>
      <c r="E23" s="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3"/>
      <c r="O23" s="13">
        <v>12</v>
      </c>
      <c r="P23" s="13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9"/>
      <c r="Y23" s="17"/>
      <c r="Z23" s="5">
        <v>6.1</v>
      </c>
      <c r="AA23" s="5">
        <v>7.78</v>
      </c>
      <c r="AB23" s="5">
        <v>5.7</v>
      </c>
      <c r="AC23" s="5">
        <v>5.84</v>
      </c>
      <c r="AD23" s="13"/>
      <c r="AE23" s="13"/>
      <c r="AF23" s="19"/>
      <c r="AG23" s="19"/>
      <c r="AH23" s="20"/>
    </row>
    <row r="24" spans="1:34" x14ac:dyDescent="0.4">
      <c r="A24" s="8"/>
      <c r="B24" s="8"/>
      <c r="C24" s="9"/>
      <c r="D24" s="9"/>
      <c r="E24" s="18"/>
      <c r="F24" s="18"/>
      <c r="G24" s="22"/>
      <c r="H24" s="22"/>
      <c r="I24" s="22"/>
      <c r="J24" s="22"/>
      <c r="K24" s="22"/>
      <c r="L24" s="18"/>
      <c r="M24" s="18"/>
      <c r="N24" s="14"/>
      <c r="O24" s="14"/>
      <c r="P24" s="14"/>
      <c r="Q24" s="18"/>
      <c r="R24" s="22"/>
      <c r="S24" s="22"/>
      <c r="T24" s="22"/>
      <c r="U24" s="22"/>
      <c r="V24" s="22"/>
      <c r="W24" s="22"/>
      <c r="X24" s="18"/>
      <c r="Y24" s="22"/>
      <c r="Z24" s="22"/>
      <c r="AA24" s="22"/>
      <c r="AB24" s="22"/>
      <c r="AC24" s="22"/>
      <c r="AD24" s="18"/>
      <c r="AE24" s="14"/>
      <c r="AF24" s="18"/>
      <c r="AG24" s="18"/>
      <c r="AH24" s="18"/>
    </row>
    <row r="25" spans="1:34" x14ac:dyDescent="0.4">
      <c r="A25" s="3"/>
      <c r="B25" s="1" t="s">
        <v>66</v>
      </c>
      <c r="C25" s="4">
        <v>-28</v>
      </c>
      <c r="D25" s="2"/>
      <c r="E25" s="5"/>
      <c r="F25" s="5"/>
      <c r="G25" s="5"/>
      <c r="H25" s="5"/>
      <c r="I25" s="5"/>
      <c r="J25" s="5"/>
      <c r="K25" s="5"/>
      <c r="L25" s="17"/>
      <c r="M25" s="6">
        <v>55</v>
      </c>
      <c r="N25" s="13"/>
      <c r="O25" s="4">
        <v>-28</v>
      </c>
      <c r="P25" s="13"/>
      <c r="Q25" s="5"/>
      <c r="R25" s="5"/>
      <c r="S25" s="5"/>
      <c r="T25" s="5"/>
      <c r="U25" s="5"/>
      <c r="V25" s="5"/>
      <c r="W25" s="5"/>
      <c r="X25" s="4">
        <v>0</v>
      </c>
      <c r="Y25" s="17"/>
      <c r="Z25" s="5"/>
      <c r="AA25" s="5"/>
      <c r="AB25" s="5"/>
      <c r="AC25" s="5"/>
      <c r="AD25" s="13"/>
      <c r="AE25" s="13" t="s">
        <v>37</v>
      </c>
      <c r="AF25" s="7">
        <v>14.5</v>
      </c>
      <c r="AG25" s="7">
        <v>5.05</v>
      </c>
      <c r="AH25" s="7">
        <f>AF25/AG25</f>
        <v>2.8712871287128712</v>
      </c>
    </row>
    <row r="26" spans="1:34" x14ac:dyDescent="0.4">
      <c r="A26" s="46"/>
      <c r="C26" s="13">
        <v>-25</v>
      </c>
      <c r="D26" s="2"/>
      <c r="E26" s="5"/>
      <c r="F26" s="5"/>
      <c r="G26" s="5">
        <v>14.2</v>
      </c>
      <c r="H26" s="5">
        <v>7.8</v>
      </c>
      <c r="I26" s="5"/>
      <c r="J26" s="5"/>
      <c r="K26" s="5">
        <v>1.8205128205128205</v>
      </c>
      <c r="L26" s="17"/>
      <c r="M26" s="6">
        <v>55</v>
      </c>
      <c r="N26" s="13"/>
      <c r="O26" s="13">
        <v>-25</v>
      </c>
      <c r="P26" s="13"/>
      <c r="Q26" s="5"/>
      <c r="R26" s="5"/>
      <c r="S26" s="5">
        <v>14</v>
      </c>
      <c r="T26" s="5">
        <v>10.53</v>
      </c>
      <c r="U26" s="5"/>
      <c r="V26" s="5"/>
      <c r="W26" s="5">
        <v>1.3295346628679963</v>
      </c>
      <c r="X26" s="19"/>
      <c r="Y26" s="17"/>
      <c r="Z26" s="5"/>
      <c r="AA26" s="5"/>
      <c r="AB26" s="5"/>
      <c r="AC26" s="5"/>
      <c r="AD26" s="13"/>
      <c r="AE26" s="13"/>
      <c r="AF26" s="7"/>
      <c r="AG26" s="7"/>
      <c r="AH26" s="7"/>
    </row>
    <row r="27" spans="1:34" x14ac:dyDescent="0.4">
      <c r="A27" s="3"/>
      <c r="C27" s="13">
        <v>-20</v>
      </c>
      <c r="D27" s="2"/>
      <c r="E27" s="5"/>
      <c r="F27" s="5"/>
      <c r="G27" s="5">
        <v>14.2</v>
      </c>
      <c r="H27" s="5">
        <v>6.1</v>
      </c>
      <c r="I27" s="5"/>
      <c r="J27" s="5"/>
      <c r="K27" s="5">
        <v>2.3278688524590163</v>
      </c>
      <c r="L27" s="17"/>
      <c r="M27" s="6">
        <v>65</v>
      </c>
      <c r="N27" s="13"/>
      <c r="O27" s="13">
        <v>-20</v>
      </c>
      <c r="P27" s="13"/>
      <c r="Q27" s="5"/>
      <c r="R27" s="5"/>
      <c r="S27" s="5">
        <v>14.2</v>
      </c>
      <c r="T27" s="5">
        <v>8.1</v>
      </c>
      <c r="U27" s="5"/>
      <c r="V27" s="5"/>
      <c r="W27" s="5">
        <v>1.7530864197530864</v>
      </c>
      <c r="X27" s="19"/>
      <c r="Y27" s="17"/>
      <c r="Z27" s="5"/>
      <c r="AA27" s="5"/>
      <c r="AB27" s="5"/>
      <c r="AC27" s="5"/>
      <c r="AD27" s="13"/>
      <c r="AE27" s="13" t="s">
        <v>38</v>
      </c>
      <c r="AF27" s="7">
        <v>15.5</v>
      </c>
      <c r="AG27" s="7">
        <v>4.5</v>
      </c>
      <c r="AH27" s="7">
        <f>AF27/AG27</f>
        <v>3.4444444444444446</v>
      </c>
    </row>
    <row r="28" spans="1:34" x14ac:dyDescent="0.4">
      <c r="A28" s="3"/>
      <c r="C28" s="2">
        <v>-15</v>
      </c>
      <c r="D28" s="2"/>
      <c r="E28" s="5"/>
      <c r="F28" s="5"/>
      <c r="G28" s="5">
        <v>16</v>
      </c>
      <c r="H28" s="5">
        <v>6.7</v>
      </c>
      <c r="I28" s="5"/>
      <c r="J28" s="5"/>
      <c r="K28" s="5">
        <v>2.3880597014925371</v>
      </c>
      <c r="L28" s="17"/>
      <c r="M28" s="6">
        <v>75</v>
      </c>
      <c r="N28" s="13"/>
      <c r="O28" s="13">
        <v>-15</v>
      </c>
      <c r="P28" s="13"/>
      <c r="Q28" s="5"/>
      <c r="R28" s="5"/>
      <c r="S28" s="5">
        <v>16</v>
      </c>
      <c r="T28" s="5">
        <v>8.6999999999999993</v>
      </c>
      <c r="U28" s="5"/>
      <c r="V28" s="5"/>
      <c r="W28" s="5">
        <v>1.8390804597701149</v>
      </c>
      <c r="X28" s="19"/>
      <c r="Y28" s="17"/>
      <c r="Z28" s="5"/>
      <c r="AA28" s="5"/>
      <c r="AB28" s="5"/>
      <c r="AC28" s="5"/>
      <c r="AD28" s="13"/>
      <c r="AE28" s="13" t="s">
        <v>40</v>
      </c>
      <c r="AF28" s="7">
        <v>15.5</v>
      </c>
      <c r="AG28" s="7">
        <v>3.95</v>
      </c>
      <c r="AH28" s="7">
        <f>AF28/AG28</f>
        <v>3.9240506329113924</v>
      </c>
    </row>
    <row r="29" spans="1:34" x14ac:dyDescent="0.4">
      <c r="A29" s="3"/>
      <c r="C29" s="2">
        <v>-10</v>
      </c>
      <c r="D29" s="2"/>
      <c r="E29" s="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3"/>
      <c r="O29" s="13">
        <v>-10</v>
      </c>
      <c r="P29" s="13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9"/>
      <c r="Y29" s="17" t="s">
        <v>39</v>
      </c>
      <c r="Z29" s="5">
        <v>16</v>
      </c>
      <c r="AA29" s="5">
        <v>2.72</v>
      </c>
      <c r="AB29" s="5">
        <v>16</v>
      </c>
      <c r="AC29" s="5">
        <v>2.04</v>
      </c>
      <c r="AD29" s="13"/>
    </row>
    <row r="30" spans="1:34" x14ac:dyDescent="0.4">
      <c r="A30" s="3"/>
      <c r="C30" s="2">
        <v>-7</v>
      </c>
      <c r="D30" s="2"/>
      <c r="E30" s="5"/>
      <c r="F30" s="5"/>
      <c r="G30" s="5">
        <v>16</v>
      </c>
      <c r="H30" s="5">
        <v>6.32</v>
      </c>
      <c r="I30" s="5"/>
      <c r="J30" s="5"/>
      <c r="K30" s="5">
        <v>2.5316455696202533</v>
      </c>
      <c r="L30" s="17"/>
      <c r="M30" s="6">
        <v>75</v>
      </c>
      <c r="N30" s="13"/>
      <c r="O30" s="13">
        <v>-7</v>
      </c>
      <c r="P30" s="13"/>
      <c r="Q30" s="5"/>
      <c r="R30" s="5"/>
      <c r="S30" s="5">
        <v>16</v>
      </c>
      <c r="T30" s="5">
        <v>8.1199999999999992</v>
      </c>
      <c r="U30" s="5"/>
      <c r="V30" s="5"/>
      <c r="W30" s="5">
        <v>1.9704433497536946</v>
      </c>
      <c r="X30" s="19"/>
      <c r="Y30" s="5">
        <f>AA30*(1.029-(0.05*Z30/G32))</f>
        <v>2.8357199999999994</v>
      </c>
      <c r="Z30" s="5">
        <v>14.2</v>
      </c>
      <c r="AA30" s="5">
        <v>2.88</v>
      </c>
      <c r="AB30" s="5">
        <v>14.2</v>
      </c>
      <c r="AC30" s="5">
        <v>2.2200000000000002</v>
      </c>
      <c r="AD30" s="13"/>
      <c r="AE30" s="13"/>
      <c r="AF30" s="19"/>
      <c r="AG30" s="19"/>
      <c r="AH30" s="20"/>
    </row>
    <row r="31" spans="1:34" x14ac:dyDescent="0.4">
      <c r="A31" s="3"/>
      <c r="C31" s="2">
        <v>2</v>
      </c>
      <c r="D31" s="2"/>
      <c r="E31" s="5"/>
      <c r="F31" s="5"/>
      <c r="G31" s="5">
        <v>16</v>
      </c>
      <c r="H31" s="5">
        <v>4.8499999999999996</v>
      </c>
      <c r="I31" s="5"/>
      <c r="J31" s="5"/>
      <c r="K31" s="5">
        <v>3.2989690721649483</v>
      </c>
      <c r="L31" s="17"/>
      <c r="M31" s="6">
        <v>75</v>
      </c>
      <c r="N31" s="13"/>
      <c r="O31" s="13">
        <v>2</v>
      </c>
      <c r="P31" s="13"/>
      <c r="Q31" s="5"/>
      <c r="R31" s="5"/>
      <c r="S31" s="5">
        <v>16</v>
      </c>
      <c r="T31" s="5">
        <v>6.75</v>
      </c>
      <c r="U31" s="5"/>
      <c r="V31" s="5"/>
      <c r="W31" s="5">
        <v>2.3703703703703702</v>
      </c>
      <c r="X31" s="19"/>
      <c r="Y31" s="5">
        <f>AA31*(0.906-(0.044*Z31/G32))</f>
        <v>4.0499865000000002</v>
      </c>
      <c r="Z31" s="5">
        <v>8.6</v>
      </c>
      <c r="AA31" s="5">
        <v>4.59</v>
      </c>
      <c r="AB31" s="5">
        <v>8.6</v>
      </c>
      <c r="AC31" s="5">
        <v>3.66</v>
      </c>
      <c r="AD31" s="13"/>
      <c r="AE31" s="13"/>
      <c r="AF31" s="19"/>
      <c r="AG31" s="19"/>
      <c r="AH31" s="20"/>
    </row>
    <row r="32" spans="1:34" x14ac:dyDescent="0.4">
      <c r="A32" s="3"/>
      <c r="C32" s="2">
        <v>7</v>
      </c>
      <c r="D32" s="2"/>
      <c r="E32" s="5"/>
      <c r="F32" s="5"/>
      <c r="G32" s="5">
        <v>16</v>
      </c>
      <c r="H32" s="5">
        <v>3.27</v>
      </c>
      <c r="I32" s="5"/>
      <c r="J32" s="5"/>
      <c r="K32" s="5">
        <v>4.8929663608562688</v>
      </c>
      <c r="L32" s="17"/>
      <c r="M32" s="6">
        <v>75</v>
      </c>
      <c r="N32" s="13"/>
      <c r="O32" s="13">
        <v>7</v>
      </c>
      <c r="P32" s="13"/>
      <c r="Q32" s="5"/>
      <c r="R32" s="5"/>
      <c r="S32" s="5">
        <v>16</v>
      </c>
      <c r="T32" s="5">
        <v>5</v>
      </c>
      <c r="U32" s="5"/>
      <c r="V32" s="5"/>
      <c r="W32" s="5">
        <v>3.2</v>
      </c>
      <c r="X32" s="19"/>
      <c r="Y32" s="5">
        <f>K32</f>
        <v>4.8929663608562688</v>
      </c>
      <c r="Z32" s="5">
        <v>5.5</v>
      </c>
      <c r="AA32" s="5">
        <v>6.33</v>
      </c>
      <c r="AB32" s="5">
        <v>5.5</v>
      </c>
      <c r="AC32" s="5">
        <v>4.8099999999999996</v>
      </c>
      <c r="AD32" s="13"/>
      <c r="AE32" s="13"/>
      <c r="AF32" s="19"/>
      <c r="AG32" s="19"/>
      <c r="AH32" s="20"/>
    </row>
    <row r="33" spans="1:36" s="1" customFormat="1" x14ac:dyDescent="0.4">
      <c r="A33"/>
      <c r="C33" s="2">
        <v>12</v>
      </c>
      <c r="D33" s="2"/>
      <c r="E33" s="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3"/>
      <c r="O33" s="13">
        <v>12</v>
      </c>
      <c r="P33" s="13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9"/>
      <c r="Y33" s="17"/>
      <c r="Z33" s="5">
        <v>5.8</v>
      </c>
      <c r="AA33" s="5">
        <v>7.83</v>
      </c>
      <c r="AB33" s="5">
        <v>5.5</v>
      </c>
      <c r="AC33" s="5">
        <v>5.78</v>
      </c>
      <c r="AD33" s="13"/>
      <c r="AE33" s="13"/>
      <c r="AF33" s="19"/>
      <c r="AG33" s="19"/>
      <c r="AH33" s="20"/>
    </row>
    <row r="34" spans="1:36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4"/>
      <c r="O34" s="14"/>
      <c r="P34" s="14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4"/>
      <c r="AF34" s="18"/>
      <c r="AG34" s="18"/>
      <c r="AH34" s="18"/>
    </row>
    <row r="35" spans="1:36" x14ac:dyDescent="0.4">
      <c r="A35" s="3"/>
      <c r="B35" s="1" t="s">
        <v>108</v>
      </c>
      <c r="C35" s="4">
        <v>-28</v>
      </c>
      <c r="D35" s="2"/>
      <c r="E35" s="35"/>
      <c r="F35" s="5"/>
      <c r="G35" s="5"/>
      <c r="H35" s="5"/>
      <c r="I35" s="5"/>
      <c r="J35" s="5"/>
      <c r="K35" s="5"/>
      <c r="L35" s="17"/>
      <c r="M35" s="6">
        <v>55</v>
      </c>
      <c r="N35" s="13"/>
      <c r="O35" s="4">
        <v>-28</v>
      </c>
      <c r="P35" s="13"/>
      <c r="Q35" s="5"/>
      <c r="R35" s="5"/>
      <c r="S35" s="5"/>
      <c r="T35" s="5"/>
      <c r="U35" s="5"/>
      <c r="V35" s="5"/>
      <c r="W35" s="5"/>
      <c r="X35" s="4">
        <v>0</v>
      </c>
      <c r="Y35" s="17"/>
      <c r="Z35" s="5"/>
      <c r="AA35" s="5"/>
      <c r="AB35" s="5"/>
      <c r="AC35" s="5"/>
      <c r="AD35" s="13"/>
      <c r="AE35" s="13" t="s">
        <v>37</v>
      </c>
      <c r="AF35" s="7">
        <v>9</v>
      </c>
      <c r="AG35" s="7">
        <v>2.4900000000000002</v>
      </c>
      <c r="AH35" s="7">
        <f>AF35/AG35</f>
        <v>3.6144578313253009</v>
      </c>
      <c r="AJ35" s="20"/>
    </row>
    <row r="36" spans="1:36" x14ac:dyDescent="0.4">
      <c r="A36" s="46"/>
      <c r="C36" s="13">
        <v>-25</v>
      </c>
      <c r="D36" s="2"/>
      <c r="E36" s="35"/>
      <c r="F36" s="5"/>
      <c r="G36" s="5">
        <v>8.1999999999999993</v>
      </c>
      <c r="H36" s="5">
        <v>4.2</v>
      </c>
      <c r="I36" s="5"/>
      <c r="J36" s="5"/>
      <c r="K36" s="5">
        <v>1.9523809523809523</v>
      </c>
      <c r="L36" s="17"/>
      <c r="M36" s="6">
        <v>55</v>
      </c>
      <c r="N36" s="13"/>
      <c r="O36" s="13">
        <v>-25</v>
      </c>
      <c r="P36" s="13"/>
      <c r="Q36" s="5"/>
      <c r="R36" s="5"/>
      <c r="S36" s="5">
        <v>7.6</v>
      </c>
      <c r="T36" s="5">
        <v>5.7</v>
      </c>
      <c r="U36" s="5"/>
      <c r="V36" s="5"/>
      <c r="W36" s="5">
        <v>1.3333333333333333</v>
      </c>
      <c r="X36" s="19"/>
      <c r="Y36" s="17"/>
      <c r="Z36" s="5"/>
      <c r="AA36" s="5"/>
      <c r="AB36" s="5"/>
      <c r="AC36" s="5"/>
      <c r="AD36" s="13"/>
      <c r="AE36" s="13"/>
      <c r="AF36" s="7"/>
      <c r="AG36" s="7"/>
      <c r="AH36" s="7"/>
    </row>
    <row r="37" spans="1:36" x14ac:dyDescent="0.4">
      <c r="A37" s="3"/>
      <c r="C37" s="13">
        <v>-20</v>
      </c>
      <c r="D37" s="2"/>
      <c r="E37" s="35"/>
      <c r="F37" s="5"/>
      <c r="G37" s="5">
        <v>8.1999999999999993</v>
      </c>
      <c r="H37" s="5">
        <v>3.34</v>
      </c>
      <c r="I37" s="5"/>
      <c r="J37" s="5"/>
      <c r="K37" s="5">
        <v>2.4550898203592815</v>
      </c>
      <c r="L37" s="17"/>
      <c r="M37" s="6">
        <v>65</v>
      </c>
      <c r="N37" s="13"/>
      <c r="O37" s="13">
        <v>-20</v>
      </c>
      <c r="P37" s="13"/>
      <c r="Q37" s="5"/>
      <c r="R37" s="5"/>
      <c r="S37" s="5">
        <v>7.6</v>
      </c>
      <c r="T37" s="5">
        <v>4.76</v>
      </c>
      <c r="U37" s="5"/>
      <c r="V37" s="5"/>
      <c r="W37" s="5">
        <v>1.596638655462185</v>
      </c>
      <c r="X37" s="13"/>
      <c r="Y37" s="17"/>
      <c r="Z37" s="5"/>
      <c r="AA37" s="5"/>
      <c r="AB37" s="5"/>
      <c r="AC37" s="5"/>
      <c r="AD37" s="13"/>
      <c r="AE37" s="13" t="s">
        <v>38</v>
      </c>
      <c r="AF37" s="7">
        <v>9.8000000000000007</v>
      </c>
      <c r="AG37" s="7">
        <v>2.63</v>
      </c>
      <c r="AH37" s="7">
        <f>AF37/AG37</f>
        <v>3.7262357414448672</v>
      </c>
    </row>
    <row r="38" spans="1:36" x14ac:dyDescent="0.4">
      <c r="A38" s="3"/>
      <c r="C38" s="2">
        <v>-15</v>
      </c>
      <c r="D38" s="2"/>
      <c r="E38" s="35"/>
      <c r="F38" s="5"/>
      <c r="G38" s="5">
        <v>9</v>
      </c>
      <c r="H38" s="5">
        <v>3.3</v>
      </c>
      <c r="I38" s="5"/>
      <c r="J38" s="5"/>
      <c r="K38" s="5">
        <v>2.7272727272727271</v>
      </c>
      <c r="L38" s="17"/>
      <c r="M38" s="6">
        <v>75</v>
      </c>
      <c r="N38" s="13"/>
      <c r="O38" s="13">
        <v>-15</v>
      </c>
      <c r="P38" s="13"/>
      <c r="Q38" s="5"/>
      <c r="R38" s="5"/>
      <c r="S38" s="5">
        <v>9</v>
      </c>
      <c r="T38" s="5">
        <v>4.4800000000000004</v>
      </c>
      <c r="U38" s="5"/>
      <c r="V38" s="5"/>
      <c r="W38" s="5">
        <v>2.0089285714285716</v>
      </c>
      <c r="X38" s="13"/>
      <c r="Y38" s="17"/>
      <c r="Z38" s="5"/>
      <c r="AA38" s="5"/>
      <c r="AB38" s="5"/>
      <c r="AC38" s="5"/>
      <c r="AD38" s="13"/>
      <c r="AE38" s="13" t="s">
        <v>40</v>
      </c>
      <c r="AF38" s="7">
        <v>9</v>
      </c>
      <c r="AG38" s="7">
        <v>1.71</v>
      </c>
      <c r="AH38" s="7">
        <f>AF38/AG38</f>
        <v>5.2631578947368425</v>
      </c>
    </row>
    <row r="39" spans="1:36" x14ac:dyDescent="0.4">
      <c r="A39" s="3"/>
      <c r="C39" s="2">
        <v>-10</v>
      </c>
      <c r="D39" s="2"/>
      <c r="E39" s="35"/>
      <c r="F39" s="5"/>
      <c r="G39" s="29" t="s">
        <v>61</v>
      </c>
      <c r="H39" s="29" t="s">
        <v>61</v>
      </c>
      <c r="I39" s="5"/>
      <c r="J39" s="5"/>
      <c r="K39" s="29" t="s">
        <v>61</v>
      </c>
      <c r="L39" s="17"/>
      <c r="M39" s="6">
        <v>75</v>
      </c>
      <c r="N39" s="13"/>
      <c r="O39" s="13">
        <v>-10</v>
      </c>
      <c r="P39" s="13"/>
      <c r="Q39" s="5"/>
      <c r="R39" s="5"/>
      <c r="S39" s="29" t="s">
        <v>61</v>
      </c>
      <c r="T39" s="29" t="s">
        <v>61</v>
      </c>
      <c r="U39" s="5"/>
      <c r="V39" s="5"/>
      <c r="W39" s="29" t="s">
        <v>61</v>
      </c>
      <c r="X39" s="13"/>
      <c r="Y39" s="17" t="s">
        <v>39</v>
      </c>
      <c r="Z39" s="5">
        <v>9</v>
      </c>
      <c r="AA39" s="5">
        <v>3.19</v>
      </c>
      <c r="AB39" s="5">
        <v>9</v>
      </c>
      <c r="AC39" s="5">
        <v>2.17</v>
      </c>
      <c r="AD39" s="13"/>
    </row>
    <row r="40" spans="1:36" x14ac:dyDescent="0.4">
      <c r="A40" s="3"/>
      <c r="C40" s="2">
        <v>-7</v>
      </c>
      <c r="D40" s="2"/>
      <c r="E40" s="35"/>
      <c r="F40" s="5"/>
      <c r="G40" s="5">
        <v>9</v>
      </c>
      <c r="H40" s="5">
        <v>2.61</v>
      </c>
      <c r="I40" s="5"/>
      <c r="J40" s="5"/>
      <c r="K40" s="5">
        <v>3.4482758620689653</v>
      </c>
      <c r="L40" s="17"/>
      <c r="M40" s="6">
        <v>75</v>
      </c>
      <c r="N40" s="13"/>
      <c r="O40" s="13">
        <v>-7</v>
      </c>
      <c r="P40" s="13"/>
      <c r="Q40" s="5"/>
      <c r="R40" s="5"/>
      <c r="S40" s="5">
        <v>9</v>
      </c>
      <c r="T40" s="5">
        <v>3.83</v>
      </c>
      <c r="U40" s="5"/>
      <c r="V40" s="5"/>
      <c r="W40" s="5">
        <v>2.3498694516971281</v>
      </c>
      <c r="X40" s="13"/>
      <c r="Y40" s="5">
        <f>AA40*(1.029-(0.05*Z40/G42))</f>
        <v>3.4656355555555556</v>
      </c>
      <c r="Z40" s="5">
        <v>8</v>
      </c>
      <c r="AA40" s="5">
        <v>3.52</v>
      </c>
      <c r="AB40" s="5">
        <v>8</v>
      </c>
      <c r="AC40" s="5">
        <v>2.4900000000000002</v>
      </c>
      <c r="AD40" s="13"/>
      <c r="AE40" s="13"/>
      <c r="AF40" s="19"/>
      <c r="AG40" s="19"/>
      <c r="AH40" s="20"/>
    </row>
    <row r="41" spans="1:36" x14ac:dyDescent="0.4">
      <c r="A41" s="3"/>
      <c r="C41" s="2">
        <v>2</v>
      </c>
      <c r="D41" s="2"/>
      <c r="E41" s="35"/>
      <c r="F41" s="5"/>
      <c r="G41" s="5">
        <v>9</v>
      </c>
      <c r="H41" s="5">
        <v>2.36</v>
      </c>
      <c r="I41" s="5"/>
      <c r="J41" s="5"/>
      <c r="K41" s="5">
        <v>3.8135593220338984</v>
      </c>
      <c r="L41" s="17"/>
      <c r="M41" s="6">
        <v>75</v>
      </c>
      <c r="N41" s="13"/>
      <c r="O41" s="13">
        <v>2</v>
      </c>
      <c r="P41" s="13"/>
      <c r="Q41" s="5"/>
      <c r="R41" s="5"/>
      <c r="S41" s="5">
        <v>9</v>
      </c>
      <c r="T41" s="5">
        <v>3.54</v>
      </c>
      <c r="U41" s="5"/>
      <c r="V41" s="5"/>
      <c r="W41" s="5">
        <v>2.5423728813559321</v>
      </c>
      <c r="X41" s="13"/>
      <c r="Y41" s="5">
        <f>AA41*(0.906-(0.044*Z41/G42))</f>
        <v>4.2690951111111115</v>
      </c>
      <c r="Z41" s="5">
        <v>4.9000000000000004</v>
      </c>
      <c r="AA41" s="5">
        <v>4.84</v>
      </c>
      <c r="AB41" s="5">
        <v>4.9000000000000004</v>
      </c>
      <c r="AC41" s="5">
        <v>3.29</v>
      </c>
      <c r="AD41" s="13"/>
      <c r="AE41" s="13"/>
      <c r="AF41" s="19"/>
      <c r="AG41" s="19"/>
      <c r="AH41" s="20"/>
    </row>
    <row r="42" spans="1:36" x14ac:dyDescent="0.4">
      <c r="A42" s="3"/>
      <c r="C42" s="2">
        <v>7</v>
      </c>
      <c r="D42" s="2"/>
      <c r="E42" s="35"/>
      <c r="F42" s="5"/>
      <c r="G42" s="5">
        <v>9</v>
      </c>
      <c r="H42" s="5">
        <v>1.72</v>
      </c>
      <c r="I42" s="5"/>
      <c r="J42" s="5"/>
      <c r="K42" s="5">
        <v>5.2325581395348841</v>
      </c>
      <c r="L42" s="17"/>
      <c r="M42" s="6">
        <v>75</v>
      </c>
      <c r="N42" s="13"/>
      <c r="O42" s="13">
        <v>7</v>
      </c>
      <c r="P42" s="13"/>
      <c r="Q42" s="5"/>
      <c r="R42" s="5"/>
      <c r="S42" s="5">
        <v>9</v>
      </c>
      <c r="T42" s="5">
        <v>2.78</v>
      </c>
      <c r="U42" s="5"/>
      <c r="V42" s="5"/>
      <c r="W42" s="5">
        <v>3.2374100719424459</v>
      </c>
      <c r="X42" s="13"/>
      <c r="Y42" s="5">
        <f>K42</f>
        <v>5.2325581395348841</v>
      </c>
      <c r="Z42" s="5">
        <v>4.8</v>
      </c>
      <c r="AA42" s="5">
        <v>6.15</v>
      </c>
      <c r="AB42" s="5">
        <v>4.7</v>
      </c>
      <c r="AC42" s="5">
        <v>4.42</v>
      </c>
      <c r="AD42" s="13"/>
      <c r="AE42" s="13"/>
      <c r="AF42" s="19"/>
      <c r="AG42" s="19"/>
      <c r="AH42" s="20"/>
    </row>
    <row r="43" spans="1:36" x14ac:dyDescent="0.4">
      <c r="A43" s="3"/>
      <c r="C43" s="2">
        <v>12</v>
      </c>
      <c r="D43" s="2"/>
      <c r="E43" s="35"/>
      <c r="F43" s="5"/>
      <c r="G43" s="29" t="s">
        <v>61</v>
      </c>
      <c r="H43" s="29" t="s">
        <v>61</v>
      </c>
      <c r="I43" s="5"/>
      <c r="J43" s="5"/>
      <c r="K43" s="29" t="s">
        <v>61</v>
      </c>
      <c r="L43" s="17"/>
      <c r="M43" s="6">
        <v>75</v>
      </c>
      <c r="N43" s="13"/>
      <c r="O43" s="13">
        <v>12</v>
      </c>
      <c r="P43" s="13"/>
      <c r="Q43" s="5"/>
      <c r="R43" s="5"/>
      <c r="S43" s="29" t="s">
        <v>61</v>
      </c>
      <c r="T43" s="29" t="s">
        <v>61</v>
      </c>
      <c r="U43" s="5"/>
      <c r="V43" s="5"/>
      <c r="W43" s="29" t="s">
        <v>61</v>
      </c>
      <c r="X43" s="13"/>
      <c r="Y43" s="17"/>
      <c r="Z43" s="5">
        <v>5.7</v>
      </c>
      <c r="AA43" s="5">
        <v>7.8</v>
      </c>
      <c r="AB43" s="5">
        <v>5.6</v>
      </c>
      <c r="AC43" s="5">
        <v>5.78</v>
      </c>
      <c r="AD43" s="13"/>
      <c r="AE43" s="13"/>
      <c r="AF43" s="19"/>
      <c r="AG43" s="19"/>
      <c r="AH43" s="20"/>
    </row>
    <row r="44" spans="1:36" x14ac:dyDescent="0.4">
      <c r="A44" s="8"/>
      <c r="B44" s="8"/>
      <c r="C44" s="9"/>
      <c r="D44" s="9"/>
      <c r="E44" s="18"/>
      <c r="F44" s="18"/>
      <c r="G44" s="22"/>
      <c r="H44" s="22"/>
      <c r="I44" s="22"/>
      <c r="J44" s="22"/>
      <c r="K44" s="22"/>
      <c r="L44" s="18"/>
      <c r="M44" s="18"/>
      <c r="N44" s="14"/>
      <c r="O44" s="14"/>
      <c r="P44" s="14"/>
      <c r="Q44" s="18"/>
      <c r="R44" s="22"/>
      <c r="S44" s="22"/>
      <c r="T44" s="22"/>
      <c r="U44" s="22"/>
      <c r="V44" s="22"/>
      <c r="W44" s="22"/>
      <c r="X44" s="18"/>
      <c r="Y44" s="22"/>
      <c r="Z44" s="22"/>
      <c r="AA44" s="22"/>
      <c r="AB44" s="22"/>
      <c r="AC44" s="22"/>
      <c r="AD44" s="18"/>
      <c r="AE44" s="14"/>
      <c r="AF44" s="18"/>
      <c r="AG44" s="18"/>
      <c r="AH44" s="18"/>
    </row>
    <row r="45" spans="1:36" x14ac:dyDescent="0.4">
      <c r="A45" s="3"/>
      <c r="B45" s="1" t="s">
        <v>109</v>
      </c>
      <c r="C45" s="4">
        <v>-28</v>
      </c>
      <c r="D45" s="2"/>
      <c r="E45" s="5"/>
      <c r="F45" s="5"/>
      <c r="G45" s="5"/>
      <c r="H45" s="5"/>
      <c r="I45" s="5"/>
      <c r="J45" s="5"/>
      <c r="K45" s="5"/>
      <c r="L45" s="17"/>
      <c r="M45" s="6">
        <v>55</v>
      </c>
      <c r="N45" s="13"/>
      <c r="O45" s="4">
        <v>-28</v>
      </c>
      <c r="P45" s="13"/>
      <c r="Q45" s="5"/>
      <c r="R45" s="5"/>
      <c r="S45" s="5"/>
      <c r="T45" s="5"/>
      <c r="U45" s="5"/>
      <c r="V45" s="5"/>
      <c r="W45" s="5"/>
      <c r="X45" s="4">
        <v>0</v>
      </c>
      <c r="Y45" s="17"/>
      <c r="Z45" s="5"/>
      <c r="AA45" s="5"/>
      <c r="AB45" s="5"/>
      <c r="AC45" s="5"/>
      <c r="AD45" s="13"/>
      <c r="AE45" s="13" t="s">
        <v>37</v>
      </c>
      <c r="AF45" s="7">
        <v>12</v>
      </c>
      <c r="AG45" s="7">
        <v>4.21</v>
      </c>
      <c r="AH45" s="7">
        <f>AF45/AG45</f>
        <v>2.8503562945368173</v>
      </c>
    </row>
    <row r="46" spans="1:36" x14ac:dyDescent="0.4">
      <c r="A46" s="46"/>
      <c r="C46" s="13">
        <v>-25</v>
      </c>
      <c r="D46" s="2"/>
      <c r="E46" s="5"/>
      <c r="F46" s="5"/>
      <c r="G46" s="5">
        <v>10.5</v>
      </c>
      <c r="H46" s="5">
        <v>5.55</v>
      </c>
      <c r="I46" s="5"/>
      <c r="J46" s="5"/>
      <c r="K46" s="5">
        <v>1.8918918918918919</v>
      </c>
      <c r="L46" s="17"/>
      <c r="M46" s="6">
        <v>55</v>
      </c>
      <c r="N46" s="13"/>
      <c r="O46" s="13">
        <v>-25</v>
      </c>
      <c r="P46" s="13"/>
      <c r="Q46" s="5"/>
      <c r="R46" s="5"/>
      <c r="S46" s="5">
        <v>9.6999999999999993</v>
      </c>
      <c r="T46" s="5">
        <v>7.4</v>
      </c>
      <c r="U46" s="5"/>
      <c r="V46" s="5"/>
      <c r="W46" s="5">
        <v>1.3108108108108107</v>
      </c>
      <c r="X46" s="19"/>
      <c r="Y46" s="17"/>
      <c r="Z46" s="5"/>
      <c r="AA46" s="5"/>
      <c r="AB46" s="5"/>
      <c r="AC46" s="5"/>
      <c r="AD46" s="13"/>
      <c r="AE46" s="13"/>
      <c r="AF46" s="7"/>
      <c r="AG46" s="7"/>
      <c r="AH46" s="7"/>
    </row>
    <row r="47" spans="1:36" x14ac:dyDescent="0.4">
      <c r="A47" s="3"/>
      <c r="C47" s="13">
        <v>-20</v>
      </c>
      <c r="D47" s="2"/>
      <c r="E47" s="5"/>
      <c r="F47" s="5"/>
      <c r="G47" s="5">
        <v>11.2</v>
      </c>
      <c r="H47" s="5">
        <v>4.75</v>
      </c>
      <c r="I47" s="5"/>
      <c r="J47" s="5"/>
      <c r="K47" s="5">
        <v>2.357894736842105</v>
      </c>
      <c r="L47" s="17"/>
      <c r="M47" s="6">
        <v>65</v>
      </c>
      <c r="N47" s="13"/>
      <c r="O47" s="13">
        <v>-20</v>
      </c>
      <c r="P47" s="13"/>
      <c r="Q47" s="5"/>
      <c r="R47" s="5"/>
      <c r="S47" s="5">
        <v>10.8</v>
      </c>
      <c r="T47" s="5">
        <v>6.45</v>
      </c>
      <c r="U47" s="5"/>
      <c r="V47" s="5"/>
      <c r="W47" s="5">
        <v>1.6744186046511629</v>
      </c>
      <c r="X47" s="19"/>
      <c r="Y47" s="17"/>
      <c r="Z47" s="5"/>
      <c r="AA47" s="5"/>
      <c r="AB47" s="5"/>
      <c r="AC47" s="5"/>
      <c r="AD47" s="13"/>
      <c r="AE47" s="13" t="s">
        <v>38</v>
      </c>
      <c r="AF47" s="7">
        <v>13.2</v>
      </c>
      <c r="AG47" s="7">
        <v>3.25</v>
      </c>
      <c r="AH47" s="7">
        <f>AF47/AG47</f>
        <v>4.0615384615384613</v>
      </c>
    </row>
    <row r="48" spans="1:36" x14ac:dyDescent="0.4">
      <c r="A48" s="3"/>
      <c r="C48" s="2">
        <v>-15</v>
      </c>
      <c r="D48" s="2"/>
      <c r="E48" s="5"/>
      <c r="F48" s="5"/>
      <c r="G48" s="5">
        <v>12</v>
      </c>
      <c r="H48" s="5">
        <v>4.5599999999999996</v>
      </c>
      <c r="I48" s="5"/>
      <c r="J48" s="5"/>
      <c r="K48" s="5">
        <v>2.6315789473684212</v>
      </c>
      <c r="L48" s="17"/>
      <c r="M48" s="6">
        <v>75</v>
      </c>
      <c r="N48" s="13"/>
      <c r="O48" s="13">
        <v>-15</v>
      </c>
      <c r="P48" s="13"/>
      <c r="Q48" s="5"/>
      <c r="R48" s="5"/>
      <c r="S48" s="5">
        <v>12</v>
      </c>
      <c r="T48" s="5">
        <v>6</v>
      </c>
      <c r="U48" s="5"/>
      <c r="V48" s="5"/>
      <c r="W48" s="5">
        <v>2</v>
      </c>
      <c r="X48" s="19"/>
      <c r="Y48" s="17"/>
      <c r="Z48" s="5"/>
      <c r="AA48" s="5"/>
      <c r="AB48" s="5"/>
      <c r="AC48" s="5"/>
      <c r="AD48" s="13"/>
      <c r="AE48" s="13" t="s">
        <v>40</v>
      </c>
      <c r="AF48" s="7">
        <v>12</v>
      </c>
      <c r="AG48" s="7">
        <v>2.8</v>
      </c>
      <c r="AH48" s="7">
        <f>AF48/AG48</f>
        <v>4.2857142857142856</v>
      </c>
    </row>
    <row r="49" spans="1:35" x14ac:dyDescent="0.4">
      <c r="A49" s="3"/>
      <c r="C49" s="2">
        <v>-10</v>
      </c>
      <c r="D49" s="2"/>
      <c r="E49" s="5"/>
      <c r="F49" s="5"/>
      <c r="G49" s="29" t="s">
        <v>61</v>
      </c>
      <c r="H49" s="29" t="s">
        <v>61</v>
      </c>
      <c r="I49" s="5"/>
      <c r="J49" s="5"/>
      <c r="K49" s="29" t="s">
        <v>61</v>
      </c>
      <c r="L49" s="17"/>
      <c r="M49" s="6">
        <v>75</v>
      </c>
      <c r="N49" s="13"/>
      <c r="O49" s="13">
        <v>-10</v>
      </c>
      <c r="P49" s="13"/>
      <c r="Q49" s="5"/>
      <c r="R49" s="5"/>
      <c r="S49" s="29" t="s">
        <v>61</v>
      </c>
      <c r="T49" s="29" t="s">
        <v>61</v>
      </c>
      <c r="U49" s="5"/>
      <c r="V49" s="5"/>
      <c r="W49" s="29" t="s">
        <v>61</v>
      </c>
      <c r="X49" s="19"/>
      <c r="Y49" s="17" t="s">
        <v>39</v>
      </c>
      <c r="Z49" s="5">
        <v>12</v>
      </c>
      <c r="AA49" s="5">
        <v>2.91</v>
      </c>
      <c r="AB49" s="5">
        <v>12</v>
      </c>
      <c r="AC49" s="5">
        <v>2.12</v>
      </c>
      <c r="AD49" s="13"/>
    </row>
    <row r="50" spans="1:35" x14ac:dyDescent="0.4">
      <c r="A50" s="3"/>
      <c r="C50" s="2">
        <v>-7</v>
      </c>
      <c r="D50" s="2"/>
      <c r="E50" s="5"/>
      <c r="F50" s="5"/>
      <c r="G50" s="5">
        <v>12</v>
      </c>
      <c r="H50" s="5">
        <v>4</v>
      </c>
      <c r="I50" s="5"/>
      <c r="J50" s="5"/>
      <c r="K50" s="5">
        <v>3</v>
      </c>
      <c r="L50" s="17"/>
      <c r="M50" s="6">
        <v>75</v>
      </c>
      <c r="N50" s="13"/>
      <c r="O50" s="13">
        <v>-7</v>
      </c>
      <c r="P50" s="13"/>
      <c r="Q50" s="5"/>
      <c r="R50" s="5"/>
      <c r="S50" s="5">
        <v>12</v>
      </c>
      <c r="T50" s="5">
        <v>5.53</v>
      </c>
      <c r="U50" s="5"/>
      <c r="V50" s="5"/>
      <c r="W50" s="5">
        <v>2.1699819168173597</v>
      </c>
      <c r="X50" s="19"/>
      <c r="Y50" s="5">
        <f>AA50*(1.029-(0.05*Z50/G52))</f>
        <v>2.7476849999999997</v>
      </c>
      <c r="Z50" s="5">
        <v>10.6</v>
      </c>
      <c r="AA50" s="5">
        <v>2.79</v>
      </c>
      <c r="AB50" s="5">
        <v>10.6</v>
      </c>
      <c r="AC50" s="5">
        <v>2.2200000000000002</v>
      </c>
      <c r="AD50" s="13"/>
      <c r="AE50" s="13"/>
      <c r="AF50" s="19"/>
      <c r="AG50" s="19"/>
      <c r="AH50" s="20"/>
    </row>
    <row r="51" spans="1:35" x14ac:dyDescent="0.4">
      <c r="A51" s="3"/>
      <c r="C51" s="2">
        <v>2</v>
      </c>
      <c r="D51" s="2"/>
      <c r="E51" s="5"/>
      <c r="F51" s="5"/>
      <c r="G51" s="5">
        <v>12</v>
      </c>
      <c r="H51" s="5">
        <v>3.39</v>
      </c>
      <c r="I51" s="5"/>
      <c r="J51" s="5"/>
      <c r="K51" s="5">
        <v>3.5398230088495577</v>
      </c>
      <c r="L51" s="17"/>
      <c r="M51" s="6">
        <v>75</v>
      </c>
      <c r="N51" s="13"/>
      <c r="O51" s="13">
        <v>2</v>
      </c>
      <c r="P51" s="13"/>
      <c r="Q51" s="5"/>
      <c r="R51" s="5"/>
      <c r="S51" s="5">
        <v>12</v>
      </c>
      <c r="T51" s="5">
        <v>4.95</v>
      </c>
      <c r="U51" s="5"/>
      <c r="V51" s="5"/>
      <c r="W51" s="5">
        <v>2.4242424242424243</v>
      </c>
      <c r="X51" s="19"/>
      <c r="Y51" s="5">
        <f>AA51*(0.906-(0.044*Z51/G52))</f>
        <v>4.1020750000000001</v>
      </c>
      <c r="Z51" s="5">
        <v>6.5</v>
      </c>
      <c r="AA51" s="5">
        <v>4.6500000000000004</v>
      </c>
      <c r="AB51" s="5">
        <v>6.5</v>
      </c>
      <c r="AC51" s="5">
        <v>3.65</v>
      </c>
      <c r="AD51" s="13"/>
      <c r="AE51" s="13"/>
      <c r="AF51" s="19"/>
      <c r="AG51" s="19"/>
      <c r="AH51" s="20"/>
    </row>
    <row r="52" spans="1:35" x14ac:dyDescent="0.4">
      <c r="A52" s="3"/>
      <c r="C52" s="2">
        <v>7</v>
      </c>
      <c r="D52" s="2"/>
      <c r="E52" s="5"/>
      <c r="F52" s="5"/>
      <c r="G52" s="5">
        <v>12</v>
      </c>
      <c r="H52" s="5">
        <v>2.37</v>
      </c>
      <c r="I52" s="5"/>
      <c r="J52" s="5"/>
      <c r="K52" s="5">
        <v>5.0632911392405067</v>
      </c>
      <c r="L52" s="17"/>
      <c r="M52" s="6">
        <v>75</v>
      </c>
      <c r="N52" s="13"/>
      <c r="O52" s="13">
        <v>7</v>
      </c>
      <c r="P52" s="13"/>
      <c r="Q52" s="5"/>
      <c r="R52" s="5"/>
      <c r="S52" s="5">
        <v>12</v>
      </c>
      <c r="T52" s="5">
        <v>3.71</v>
      </c>
      <c r="U52" s="5"/>
      <c r="V52" s="5"/>
      <c r="W52" s="5">
        <v>3.2345013477088949</v>
      </c>
      <c r="X52" s="19"/>
      <c r="Y52" s="5">
        <f>K52</f>
        <v>5.0632911392405067</v>
      </c>
      <c r="Z52" s="5">
        <v>5.3</v>
      </c>
      <c r="AA52" s="5">
        <v>6.25</v>
      </c>
      <c r="AB52" s="5">
        <v>4.9000000000000004</v>
      </c>
      <c r="AC52" s="5">
        <v>4.57</v>
      </c>
      <c r="AD52" s="13"/>
      <c r="AE52" s="13"/>
      <c r="AF52" s="19"/>
      <c r="AG52" s="19"/>
      <c r="AH52" s="20"/>
    </row>
    <row r="53" spans="1:35" x14ac:dyDescent="0.4">
      <c r="A53" s="3"/>
      <c r="C53" s="2">
        <v>12</v>
      </c>
      <c r="D53" s="2"/>
      <c r="E53" s="5"/>
      <c r="F53" s="5"/>
      <c r="G53" s="29" t="s">
        <v>61</v>
      </c>
      <c r="H53" s="29" t="s">
        <v>61</v>
      </c>
      <c r="I53" s="5"/>
      <c r="J53" s="5"/>
      <c r="K53" s="29" t="s">
        <v>61</v>
      </c>
      <c r="L53" s="17"/>
      <c r="M53" s="6">
        <v>75</v>
      </c>
      <c r="N53" s="13"/>
      <c r="O53" s="13">
        <v>12</v>
      </c>
      <c r="P53" s="13"/>
      <c r="Q53" s="5"/>
      <c r="R53" s="5"/>
      <c r="S53" s="29" t="s">
        <v>61</v>
      </c>
      <c r="T53" s="29" t="s">
        <v>61</v>
      </c>
      <c r="U53" s="5"/>
      <c r="V53" s="5"/>
      <c r="W53" s="29" t="s">
        <v>61</v>
      </c>
      <c r="X53" s="19"/>
      <c r="Y53" s="17"/>
      <c r="Z53" s="5">
        <v>6.1</v>
      </c>
      <c r="AA53" s="5">
        <v>7.78</v>
      </c>
      <c r="AB53" s="5">
        <v>5.7</v>
      </c>
      <c r="AC53" s="5">
        <v>5.84</v>
      </c>
      <c r="AD53" s="13"/>
      <c r="AE53" s="13"/>
      <c r="AF53" s="19"/>
      <c r="AG53" s="19"/>
      <c r="AH53" s="20"/>
    </row>
    <row r="54" spans="1:35" x14ac:dyDescent="0.4">
      <c r="A54" s="8"/>
      <c r="B54" s="8"/>
      <c r="C54" s="9"/>
      <c r="D54" s="9"/>
      <c r="E54" s="18"/>
      <c r="F54" s="18"/>
      <c r="G54" s="22"/>
      <c r="H54" s="22"/>
      <c r="I54" s="22"/>
      <c r="J54" s="22"/>
      <c r="K54" s="22"/>
      <c r="L54" s="18"/>
      <c r="M54" s="18"/>
      <c r="N54" s="14"/>
      <c r="O54" s="14"/>
      <c r="P54" s="14"/>
      <c r="Q54" s="18"/>
      <c r="R54" s="22"/>
      <c r="S54" s="22"/>
      <c r="T54" s="22"/>
      <c r="U54" s="22"/>
      <c r="V54" s="22"/>
      <c r="W54" s="22"/>
      <c r="X54" s="18"/>
      <c r="Y54" s="22"/>
      <c r="Z54" s="22"/>
      <c r="AA54" s="22"/>
      <c r="AB54" s="22"/>
      <c r="AC54" s="22"/>
      <c r="AD54" s="18"/>
      <c r="AE54" s="14"/>
      <c r="AF54" s="18"/>
      <c r="AG54" s="18"/>
      <c r="AH54" s="18"/>
    </row>
    <row r="55" spans="1:35" x14ac:dyDescent="0.4">
      <c r="A55" s="3"/>
      <c r="B55" s="1" t="s">
        <v>110</v>
      </c>
      <c r="C55" s="4">
        <v>-28</v>
      </c>
      <c r="D55" s="2"/>
      <c r="E55" s="5"/>
      <c r="F55" s="5"/>
      <c r="G55" s="5"/>
      <c r="H55" s="5"/>
      <c r="I55" s="5"/>
      <c r="J55" s="5"/>
      <c r="K55" s="5"/>
      <c r="L55" s="17"/>
      <c r="M55" s="6">
        <v>55</v>
      </c>
      <c r="N55" s="13"/>
      <c r="O55" s="4">
        <v>-28</v>
      </c>
      <c r="P55" s="13"/>
      <c r="Q55" s="5"/>
      <c r="R55" s="5"/>
      <c r="S55" s="5"/>
      <c r="T55" s="5"/>
      <c r="U55" s="5"/>
      <c r="V55" s="5"/>
      <c r="W55" s="5"/>
      <c r="X55" s="4">
        <v>0</v>
      </c>
      <c r="Y55" s="17"/>
      <c r="Z55" s="5"/>
      <c r="AA55" s="5"/>
      <c r="AB55" s="5"/>
      <c r="AC55" s="5"/>
      <c r="AD55" s="13"/>
      <c r="AE55" s="13" t="s">
        <v>37</v>
      </c>
      <c r="AF55" s="7">
        <v>14.5</v>
      </c>
      <c r="AG55" s="7">
        <v>5.05</v>
      </c>
      <c r="AH55" s="7">
        <f>AF55/AG55</f>
        <v>2.8712871287128712</v>
      </c>
    </row>
    <row r="56" spans="1:35" x14ac:dyDescent="0.4">
      <c r="A56" s="46"/>
      <c r="C56" s="13">
        <v>-25</v>
      </c>
      <c r="D56" s="2"/>
      <c r="E56" s="5"/>
      <c r="F56" s="5"/>
      <c r="G56" s="5">
        <v>14.2</v>
      </c>
      <c r="H56" s="5">
        <v>7.8</v>
      </c>
      <c r="I56" s="5"/>
      <c r="J56" s="5"/>
      <c r="K56" s="5">
        <v>1.8205128205128205</v>
      </c>
      <c r="L56" s="17"/>
      <c r="M56" s="6">
        <v>55</v>
      </c>
      <c r="N56" s="13"/>
      <c r="O56" s="13">
        <v>-25</v>
      </c>
      <c r="P56" s="13"/>
      <c r="Q56" s="5"/>
      <c r="R56" s="5"/>
      <c r="S56" s="5">
        <v>14</v>
      </c>
      <c r="T56" s="5">
        <v>10.53</v>
      </c>
      <c r="U56" s="5"/>
      <c r="V56" s="5"/>
      <c r="W56" s="5">
        <v>1.3295346628679963</v>
      </c>
      <c r="X56" s="19"/>
      <c r="Y56" s="17"/>
      <c r="Z56" s="5"/>
      <c r="AA56" s="5"/>
      <c r="AB56" s="5"/>
      <c r="AC56" s="5"/>
      <c r="AD56" s="13"/>
      <c r="AE56" s="13"/>
      <c r="AF56" s="7"/>
      <c r="AG56" s="7"/>
      <c r="AH56" s="7"/>
    </row>
    <row r="57" spans="1:35" x14ac:dyDescent="0.4">
      <c r="A57" s="3"/>
      <c r="C57" s="13">
        <v>-20</v>
      </c>
      <c r="D57" s="2"/>
      <c r="E57" s="5"/>
      <c r="F57" s="5"/>
      <c r="G57" s="5">
        <v>14.2</v>
      </c>
      <c r="H57" s="5">
        <v>6.1</v>
      </c>
      <c r="I57" s="5"/>
      <c r="J57" s="5"/>
      <c r="K57" s="5">
        <v>2.3278688524590163</v>
      </c>
      <c r="L57" s="17"/>
      <c r="M57" s="6">
        <v>65</v>
      </c>
      <c r="N57" s="13"/>
      <c r="O57" s="13">
        <v>-20</v>
      </c>
      <c r="P57" s="13"/>
      <c r="Q57" s="5"/>
      <c r="R57" s="5"/>
      <c r="S57" s="5">
        <v>14.2</v>
      </c>
      <c r="T57" s="5">
        <v>8.1</v>
      </c>
      <c r="U57" s="5"/>
      <c r="V57" s="5"/>
      <c r="W57" s="5">
        <v>1.7530864197530864</v>
      </c>
      <c r="X57" s="19"/>
      <c r="Y57" s="17"/>
      <c r="Z57" s="5"/>
      <c r="AA57" s="5"/>
      <c r="AB57" s="5"/>
      <c r="AC57" s="5"/>
      <c r="AD57" s="13"/>
      <c r="AE57" s="13" t="s">
        <v>38</v>
      </c>
      <c r="AF57" s="7">
        <v>15.5</v>
      </c>
      <c r="AG57" s="7">
        <v>4.5</v>
      </c>
      <c r="AH57" s="7">
        <f>AF57/AG57</f>
        <v>3.4444444444444446</v>
      </c>
    </row>
    <row r="58" spans="1:35" x14ac:dyDescent="0.4">
      <c r="A58" s="3"/>
      <c r="C58" s="2">
        <v>-15</v>
      </c>
      <c r="D58" s="2"/>
      <c r="E58" s="5"/>
      <c r="F58" s="5"/>
      <c r="G58" s="5">
        <v>16</v>
      </c>
      <c r="H58" s="5">
        <v>6.7</v>
      </c>
      <c r="I58" s="5"/>
      <c r="J58" s="5"/>
      <c r="K58" s="5">
        <v>2.3880597014925371</v>
      </c>
      <c r="L58" s="17"/>
      <c r="M58" s="6">
        <v>75</v>
      </c>
      <c r="N58" s="13"/>
      <c r="O58" s="13">
        <v>-15</v>
      </c>
      <c r="P58" s="13"/>
      <c r="Q58" s="5"/>
      <c r="R58" s="5"/>
      <c r="S58" s="5">
        <v>16</v>
      </c>
      <c r="T58" s="5">
        <v>8.6999999999999993</v>
      </c>
      <c r="U58" s="5"/>
      <c r="V58" s="5"/>
      <c r="W58" s="5">
        <v>1.8390804597701149</v>
      </c>
      <c r="X58" s="19"/>
      <c r="Y58" s="17"/>
      <c r="Z58" s="5"/>
      <c r="AA58" s="5"/>
      <c r="AB58" s="5"/>
      <c r="AC58" s="5"/>
      <c r="AD58" s="13"/>
      <c r="AE58" s="13" t="s">
        <v>40</v>
      </c>
      <c r="AF58" s="7">
        <v>15.5</v>
      </c>
      <c r="AG58" s="7">
        <v>3.95</v>
      </c>
      <c r="AH58" s="7">
        <f>AF58/AG58</f>
        <v>3.9240506329113924</v>
      </c>
    </row>
    <row r="59" spans="1:35" x14ac:dyDescent="0.4">
      <c r="A59" s="3"/>
      <c r="C59" s="2">
        <v>-10</v>
      </c>
      <c r="D59" s="2"/>
      <c r="E59" s="5"/>
      <c r="F59" s="5"/>
      <c r="G59" s="29" t="s">
        <v>61</v>
      </c>
      <c r="H59" s="29" t="s">
        <v>61</v>
      </c>
      <c r="I59" s="5"/>
      <c r="J59" s="5"/>
      <c r="K59" s="29" t="s">
        <v>61</v>
      </c>
      <c r="L59" s="17"/>
      <c r="M59" s="6">
        <v>75</v>
      </c>
      <c r="N59" s="13"/>
      <c r="O59" s="13">
        <v>-10</v>
      </c>
      <c r="P59" s="13"/>
      <c r="Q59" s="5"/>
      <c r="R59" s="5"/>
      <c r="S59" s="29" t="s">
        <v>61</v>
      </c>
      <c r="T59" s="29" t="s">
        <v>61</v>
      </c>
      <c r="U59" s="5"/>
      <c r="V59" s="5"/>
      <c r="W59" s="29" t="s">
        <v>61</v>
      </c>
      <c r="X59" s="19"/>
      <c r="Y59" s="17" t="s">
        <v>39</v>
      </c>
      <c r="Z59" s="5">
        <v>16</v>
      </c>
      <c r="AA59" s="5">
        <v>2.72</v>
      </c>
      <c r="AB59" s="5">
        <v>16</v>
      </c>
      <c r="AC59" s="5">
        <v>2.04</v>
      </c>
      <c r="AD59" s="13"/>
    </row>
    <row r="60" spans="1:35" x14ac:dyDescent="0.4">
      <c r="A60" s="3"/>
      <c r="C60" s="2">
        <v>-7</v>
      </c>
      <c r="D60" s="2"/>
      <c r="E60" s="5"/>
      <c r="F60" s="5"/>
      <c r="G60" s="5">
        <v>16</v>
      </c>
      <c r="H60" s="5">
        <v>6.32</v>
      </c>
      <c r="I60" s="5"/>
      <c r="J60" s="5"/>
      <c r="K60" s="5">
        <v>2.5316455696202533</v>
      </c>
      <c r="L60" s="17"/>
      <c r="M60" s="6">
        <v>75</v>
      </c>
      <c r="N60" s="13"/>
      <c r="O60" s="13">
        <v>-7</v>
      </c>
      <c r="P60" s="13"/>
      <c r="Q60" s="5"/>
      <c r="R60" s="5"/>
      <c r="S60" s="5">
        <v>16</v>
      </c>
      <c r="T60" s="5">
        <v>8.1199999999999992</v>
      </c>
      <c r="U60" s="5"/>
      <c r="V60" s="5"/>
      <c r="W60" s="5">
        <v>1.9704433497536946</v>
      </c>
      <c r="X60" s="19"/>
      <c r="Y60" s="5">
        <f>AA60*(1.029-(0.05*Z60/G62))</f>
        <v>2.8357199999999994</v>
      </c>
      <c r="Z60" s="5">
        <v>14.2</v>
      </c>
      <c r="AA60" s="5">
        <v>2.88</v>
      </c>
      <c r="AB60" s="5">
        <v>14.2</v>
      </c>
      <c r="AC60" s="5">
        <v>2.2200000000000002</v>
      </c>
      <c r="AD60" s="13"/>
      <c r="AE60" s="13"/>
      <c r="AF60" s="19"/>
      <c r="AG60" s="19"/>
      <c r="AH60" s="20"/>
    </row>
    <row r="61" spans="1:35" x14ac:dyDescent="0.4">
      <c r="A61" s="3"/>
      <c r="C61" s="2">
        <v>2</v>
      </c>
      <c r="D61" s="2"/>
      <c r="E61" s="5"/>
      <c r="F61" s="5"/>
      <c r="G61" s="5">
        <v>16</v>
      </c>
      <c r="H61" s="5">
        <v>4.8499999999999996</v>
      </c>
      <c r="I61" s="5"/>
      <c r="J61" s="5"/>
      <c r="K61" s="5">
        <v>3.2989690721649483</v>
      </c>
      <c r="L61" s="17"/>
      <c r="M61" s="6">
        <v>75</v>
      </c>
      <c r="N61" s="13"/>
      <c r="O61" s="13">
        <v>2</v>
      </c>
      <c r="P61" s="13"/>
      <c r="Q61" s="5"/>
      <c r="R61" s="5"/>
      <c r="S61" s="5">
        <v>16</v>
      </c>
      <c r="T61" s="5">
        <v>6.75</v>
      </c>
      <c r="U61" s="5"/>
      <c r="V61" s="5"/>
      <c r="W61" s="5">
        <v>2.3703703703703702</v>
      </c>
      <c r="X61" s="19"/>
      <c r="Y61" s="5">
        <f>AA61*(0.906-(0.044*Z61/G62))</f>
        <v>4.0499865000000002</v>
      </c>
      <c r="Z61" s="5">
        <v>8.6</v>
      </c>
      <c r="AA61" s="5">
        <v>4.59</v>
      </c>
      <c r="AB61" s="5">
        <v>8.6</v>
      </c>
      <c r="AC61" s="5">
        <v>3.66</v>
      </c>
      <c r="AD61" s="13"/>
      <c r="AE61" s="13"/>
      <c r="AF61" s="19"/>
      <c r="AG61" s="19"/>
      <c r="AH61" s="20"/>
    </row>
    <row r="62" spans="1:35" x14ac:dyDescent="0.4">
      <c r="A62" s="3"/>
      <c r="C62" s="2">
        <v>7</v>
      </c>
      <c r="D62" s="2"/>
      <c r="E62" s="5"/>
      <c r="F62" s="5"/>
      <c r="G62" s="5">
        <v>16</v>
      </c>
      <c r="H62" s="5">
        <v>3.27</v>
      </c>
      <c r="I62" s="5"/>
      <c r="J62" s="5"/>
      <c r="K62" s="5">
        <v>4.8929663608562688</v>
      </c>
      <c r="L62" s="17"/>
      <c r="M62" s="6">
        <v>75</v>
      </c>
      <c r="N62" s="13"/>
      <c r="O62" s="13">
        <v>7</v>
      </c>
      <c r="P62" s="13"/>
      <c r="Q62" s="5"/>
      <c r="R62" s="5"/>
      <c r="S62" s="5">
        <v>16</v>
      </c>
      <c r="T62" s="5">
        <v>5</v>
      </c>
      <c r="U62" s="5"/>
      <c r="V62" s="5"/>
      <c r="W62" s="5">
        <v>3.2</v>
      </c>
      <c r="X62" s="19"/>
      <c r="Y62" s="5">
        <f>K62</f>
        <v>4.8929663608562688</v>
      </c>
      <c r="Z62" s="5">
        <v>5.5</v>
      </c>
      <c r="AA62" s="5">
        <v>6.33</v>
      </c>
      <c r="AB62" s="5">
        <v>5.5</v>
      </c>
      <c r="AC62" s="5">
        <v>4.8099999999999996</v>
      </c>
      <c r="AD62" s="13"/>
      <c r="AE62" s="13"/>
      <c r="AF62" s="19"/>
      <c r="AG62" s="19"/>
      <c r="AH62" s="20"/>
    </row>
    <row r="63" spans="1:35" x14ac:dyDescent="0.4">
      <c r="A63"/>
      <c r="C63" s="2">
        <v>12</v>
      </c>
      <c r="D63" s="2"/>
      <c r="E63" s="5"/>
      <c r="F63" s="5"/>
      <c r="G63" s="29" t="s">
        <v>61</v>
      </c>
      <c r="H63" s="29" t="s">
        <v>61</v>
      </c>
      <c r="I63" s="5"/>
      <c r="J63" s="5"/>
      <c r="K63" s="29" t="s">
        <v>61</v>
      </c>
      <c r="L63" s="17"/>
      <c r="M63" s="6">
        <v>75</v>
      </c>
      <c r="N63" s="13"/>
      <c r="O63" s="13">
        <v>12</v>
      </c>
      <c r="P63" s="13"/>
      <c r="Q63" s="5"/>
      <c r="R63" s="5"/>
      <c r="S63" s="29" t="s">
        <v>61</v>
      </c>
      <c r="T63" s="29" t="s">
        <v>61</v>
      </c>
      <c r="U63" s="5"/>
      <c r="V63" s="5"/>
      <c r="W63" s="29" t="s">
        <v>61</v>
      </c>
      <c r="X63" s="19"/>
      <c r="Y63" s="17"/>
      <c r="Z63" s="5">
        <v>5.8</v>
      </c>
      <c r="AA63" s="5">
        <v>7.83</v>
      </c>
      <c r="AB63" s="5">
        <v>5.5</v>
      </c>
      <c r="AC63" s="5">
        <v>5.78</v>
      </c>
      <c r="AD63" s="13"/>
      <c r="AE63" s="13"/>
      <c r="AF63" s="19"/>
      <c r="AG63" s="19"/>
      <c r="AH63" s="20"/>
      <c r="AI63" s="1"/>
    </row>
    <row r="64" spans="1:35" x14ac:dyDescent="0.4">
      <c r="A64" s="8"/>
      <c r="B64" s="8"/>
      <c r="C64" s="9"/>
      <c r="D64" s="9"/>
      <c r="E64" s="18"/>
      <c r="F64" s="18"/>
      <c r="G64" s="22"/>
      <c r="H64" s="22"/>
      <c r="I64" s="22"/>
      <c r="J64" s="22"/>
      <c r="K64" s="22"/>
      <c r="L64" s="18"/>
      <c r="M64" s="18"/>
      <c r="N64" s="14"/>
      <c r="O64" s="14"/>
      <c r="P64" s="14"/>
      <c r="Q64" s="18"/>
      <c r="R64" s="22"/>
      <c r="S64" s="22"/>
      <c r="T64" s="22"/>
      <c r="U64" s="22"/>
      <c r="V64" s="22"/>
      <c r="W64" s="22"/>
      <c r="X64" s="18"/>
      <c r="Y64" s="22"/>
      <c r="Z64" s="22"/>
      <c r="AA64" s="22"/>
      <c r="AB64" s="22"/>
      <c r="AC64" s="22"/>
      <c r="AD64" s="18"/>
      <c r="AE64" s="14"/>
      <c r="AF64" s="18"/>
      <c r="AG64" s="18"/>
      <c r="AH64" s="18"/>
    </row>
    <row r="65" spans="1:34" x14ac:dyDescent="0.4">
      <c r="A65" s="3"/>
      <c r="B65" s="1" t="s">
        <v>104</v>
      </c>
      <c r="C65" s="4">
        <v>-28</v>
      </c>
      <c r="D65" s="2"/>
      <c r="E65" s="24"/>
      <c r="F65" s="24"/>
      <c r="G65" s="24"/>
      <c r="H65" s="24"/>
      <c r="I65" s="24"/>
      <c r="J65" s="24"/>
      <c r="K65" s="24"/>
      <c r="L65" s="36"/>
      <c r="M65" s="50">
        <v>55</v>
      </c>
      <c r="N65" s="34"/>
      <c r="O65" s="48">
        <v>-28</v>
      </c>
      <c r="P65" s="34"/>
      <c r="Q65" s="24"/>
      <c r="R65" s="24"/>
      <c r="S65" s="24"/>
      <c r="T65" s="24"/>
      <c r="U65" s="24"/>
      <c r="V65" s="24"/>
      <c r="W65" s="24"/>
      <c r="X65" s="4">
        <v>0</v>
      </c>
      <c r="Y65" s="36"/>
      <c r="Z65" s="24"/>
      <c r="AA65" s="24"/>
      <c r="AB65" s="24"/>
      <c r="AC65" s="24"/>
      <c r="AD65" s="34"/>
      <c r="AE65" s="13" t="s">
        <v>37</v>
      </c>
      <c r="AF65" s="5">
        <v>20</v>
      </c>
      <c r="AG65" s="5">
        <v>6.41</v>
      </c>
      <c r="AH65" s="7">
        <f>AF65/AG65</f>
        <v>3.1201248049921997</v>
      </c>
    </row>
    <row r="66" spans="1:34" x14ac:dyDescent="0.4">
      <c r="A66" s="46"/>
      <c r="C66" s="13">
        <v>-25</v>
      </c>
      <c r="D66" s="2"/>
      <c r="E66" s="24"/>
      <c r="F66" s="24"/>
      <c r="G66" s="24"/>
      <c r="H66" s="24"/>
      <c r="I66" s="24"/>
      <c r="J66" s="24"/>
      <c r="K66" s="24"/>
      <c r="L66" s="36"/>
      <c r="M66" s="50">
        <v>55</v>
      </c>
      <c r="N66" s="34"/>
      <c r="O66" s="13">
        <v>-25</v>
      </c>
      <c r="P66" s="34"/>
      <c r="Q66" s="24"/>
      <c r="R66" s="5"/>
      <c r="S66" s="5"/>
      <c r="T66" s="5"/>
      <c r="U66" s="5"/>
      <c r="V66" s="5"/>
      <c r="W66" s="5"/>
      <c r="X66" s="19"/>
      <c r="Y66" s="36"/>
      <c r="Z66" s="24"/>
      <c r="AA66" s="24"/>
      <c r="AB66" s="24"/>
      <c r="AC66" s="24"/>
      <c r="AD66" s="34"/>
      <c r="AE66" s="13"/>
      <c r="AF66" s="7"/>
      <c r="AG66" s="7"/>
      <c r="AH66" s="7"/>
    </row>
    <row r="67" spans="1:34" x14ac:dyDescent="0.4">
      <c r="A67" s="3"/>
      <c r="C67" s="13">
        <v>-20</v>
      </c>
      <c r="D67" s="2"/>
      <c r="E67" s="24"/>
      <c r="F67" s="24"/>
      <c r="G67" s="5">
        <v>20</v>
      </c>
      <c r="H67" s="5">
        <v>10.5</v>
      </c>
      <c r="I67" s="5"/>
      <c r="J67" s="5"/>
      <c r="K67" s="5">
        <v>1.9047619047619047</v>
      </c>
      <c r="L67" s="36"/>
      <c r="M67" s="50">
        <v>55</v>
      </c>
      <c r="N67" s="34"/>
      <c r="O67" s="13">
        <v>-20</v>
      </c>
      <c r="P67" s="34"/>
      <c r="Q67" s="24"/>
      <c r="R67" s="5"/>
      <c r="S67" s="5">
        <v>20</v>
      </c>
      <c r="T67" s="5">
        <v>14.4</v>
      </c>
      <c r="U67" s="5"/>
      <c r="V67" s="5"/>
      <c r="W67" s="5">
        <v>1.3888888888888888</v>
      </c>
      <c r="X67" s="19"/>
      <c r="Y67" s="36"/>
      <c r="Z67" s="24"/>
      <c r="AA67" s="24"/>
      <c r="AB67" s="24"/>
      <c r="AC67" s="24"/>
      <c r="AD67" s="34"/>
      <c r="AE67" s="13" t="s">
        <v>38</v>
      </c>
      <c r="AF67" s="7"/>
      <c r="AG67" s="7"/>
      <c r="AH67" s="7"/>
    </row>
    <row r="68" spans="1:34" x14ac:dyDescent="0.4">
      <c r="A68" s="3"/>
      <c r="C68" s="2">
        <v>-15</v>
      </c>
      <c r="D68" s="2"/>
      <c r="E68" s="24"/>
      <c r="F68" s="24"/>
      <c r="G68" s="5">
        <v>20</v>
      </c>
      <c r="H68" s="5">
        <v>8.5299999999999994</v>
      </c>
      <c r="I68" s="5"/>
      <c r="J68" s="5"/>
      <c r="K68" s="5">
        <v>2.3446658851113718</v>
      </c>
      <c r="L68" s="36"/>
      <c r="M68" s="50">
        <v>65</v>
      </c>
      <c r="N68" s="34"/>
      <c r="O68" s="13">
        <v>-15</v>
      </c>
      <c r="P68" s="34"/>
      <c r="Q68" s="24"/>
      <c r="R68" s="5"/>
      <c r="S68" s="5">
        <v>20</v>
      </c>
      <c r="T68" s="5">
        <v>12</v>
      </c>
      <c r="U68" s="5"/>
      <c r="V68" s="5"/>
      <c r="W68" s="5">
        <v>1.6666666666666667</v>
      </c>
      <c r="X68" s="19"/>
      <c r="Y68" s="36"/>
      <c r="Z68" s="28"/>
      <c r="AA68" s="28"/>
      <c r="AB68" s="28"/>
      <c r="AC68" s="28"/>
      <c r="AD68" s="34"/>
      <c r="AE68" s="13" t="s">
        <v>40</v>
      </c>
      <c r="AF68" s="5">
        <v>20</v>
      </c>
      <c r="AG68" s="5">
        <v>5.58</v>
      </c>
      <c r="AH68" s="5">
        <f>AF68/AG68</f>
        <v>3.5842293906810037</v>
      </c>
    </row>
    <row r="69" spans="1:34" x14ac:dyDescent="0.4">
      <c r="A69" s="3"/>
      <c r="C69" s="2">
        <v>-10</v>
      </c>
      <c r="D69" s="2"/>
      <c r="E69" s="24"/>
      <c r="F69" s="24"/>
      <c r="G69" s="29" t="s">
        <v>61</v>
      </c>
      <c r="H69" s="29" t="s">
        <v>61</v>
      </c>
      <c r="I69" s="5"/>
      <c r="J69" s="5"/>
      <c r="K69" s="29" t="s">
        <v>61</v>
      </c>
      <c r="L69" s="36"/>
      <c r="M69" s="50">
        <v>65</v>
      </c>
      <c r="N69" s="34"/>
      <c r="O69" s="13">
        <v>-10</v>
      </c>
      <c r="P69" s="34"/>
      <c r="Q69" s="24"/>
      <c r="R69" s="5"/>
      <c r="S69" s="29" t="s">
        <v>61</v>
      </c>
      <c r="T69" s="29" t="s">
        <v>61</v>
      </c>
      <c r="U69" s="5"/>
      <c r="V69" s="5"/>
      <c r="W69" s="29" t="s">
        <v>61</v>
      </c>
      <c r="X69" s="19"/>
      <c r="Y69" s="49"/>
      <c r="Z69" s="5">
        <v>22.5</v>
      </c>
      <c r="AA69" s="5">
        <v>2.4</v>
      </c>
      <c r="AB69" s="5">
        <v>22.5</v>
      </c>
      <c r="AC69" s="5">
        <v>1.91</v>
      </c>
      <c r="AD69" s="34"/>
      <c r="AE69" s="33"/>
      <c r="AF69" s="33"/>
      <c r="AG69" s="33"/>
      <c r="AH69" s="33"/>
    </row>
    <row r="70" spans="1:34" x14ac:dyDescent="0.4">
      <c r="A70" s="3"/>
      <c r="C70" s="2">
        <v>-7</v>
      </c>
      <c r="D70" s="2"/>
      <c r="E70" s="24"/>
      <c r="F70" s="24"/>
      <c r="G70" s="5">
        <v>20</v>
      </c>
      <c r="H70" s="5">
        <v>8.0500000000000007</v>
      </c>
      <c r="I70" s="5"/>
      <c r="J70" s="5"/>
      <c r="K70" s="7">
        <v>2.4844720496894408</v>
      </c>
      <c r="L70" s="36"/>
      <c r="M70" s="50">
        <v>70</v>
      </c>
      <c r="N70" s="34"/>
      <c r="O70" s="13">
        <v>-7</v>
      </c>
      <c r="P70" s="34"/>
      <c r="Q70" s="24"/>
      <c r="R70" s="5"/>
      <c r="S70" s="5">
        <v>20</v>
      </c>
      <c r="T70" s="5">
        <v>10.5</v>
      </c>
      <c r="U70" s="5"/>
      <c r="V70" s="5"/>
      <c r="W70" s="5">
        <v>1.9047619047619047</v>
      </c>
      <c r="X70" s="19"/>
      <c r="Y70" s="5">
        <f>AA70*(1.029-(0.05*Z70/G72))</f>
        <v>2.9354325000000001</v>
      </c>
      <c r="Z70" s="5">
        <v>18.899999999999999</v>
      </c>
      <c r="AA70" s="5">
        <v>2.99</v>
      </c>
      <c r="AB70" s="5">
        <v>22.2</v>
      </c>
      <c r="AC70" s="5">
        <v>2.19</v>
      </c>
      <c r="AD70" s="34"/>
      <c r="AE70" s="34"/>
      <c r="AF70" s="34"/>
      <c r="AG70" s="34"/>
      <c r="AH70" s="33"/>
    </row>
    <row r="71" spans="1:34" x14ac:dyDescent="0.4">
      <c r="A71" s="3"/>
      <c r="C71" s="2">
        <v>2</v>
      </c>
      <c r="D71" s="2"/>
      <c r="E71" s="24"/>
      <c r="F71" s="24"/>
      <c r="G71" s="7">
        <v>20</v>
      </c>
      <c r="H71" s="7">
        <v>5.9</v>
      </c>
      <c r="I71" s="7"/>
      <c r="J71" s="5"/>
      <c r="K71" s="7">
        <v>3.3898305084745761</v>
      </c>
      <c r="L71" s="36"/>
      <c r="M71" s="50">
        <v>70</v>
      </c>
      <c r="N71" s="34"/>
      <c r="O71" s="13">
        <v>2</v>
      </c>
      <c r="P71" s="34"/>
      <c r="Q71" s="24"/>
      <c r="R71" s="5"/>
      <c r="S71" s="5">
        <v>20</v>
      </c>
      <c r="T71" s="5">
        <v>9.61</v>
      </c>
      <c r="U71" s="5"/>
      <c r="V71" s="5"/>
      <c r="W71" s="5">
        <v>2.0811654526534862</v>
      </c>
      <c r="X71" s="19"/>
      <c r="Y71" s="5">
        <f>AA71*(0.906-(0.044*Z71/G72))</f>
        <v>3.6275776000000004</v>
      </c>
      <c r="Z71" s="5">
        <v>11.6</v>
      </c>
      <c r="AA71" s="5">
        <v>4.12</v>
      </c>
      <c r="AB71" s="5">
        <v>10.9</v>
      </c>
      <c r="AC71" s="5">
        <v>3.54</v>
      </c>
      <c r="AD71" s="34"/>
      <c r="AE71" s="34"/>
      <c r="AF71" s="34"/>
      <c r="AG71" s="34"/>
      <c r="AH71" s="33"/>
    </row>
    <row r="72" spans="1:34" x14ac:dyDescent="0.4">
      <c r="A72" s="3"/>
      <c r="C72" s="2">
        <v>7</v>
      </c>
      <c r="D72" s="2"/>
      <c r="E72" s="24"/>
      <c r="F72" s="24"/>
      <c r="G72" s="7">
        <v>20</v>
      </c>
      <c r="H72" s="7">
        <v>4.17</v>
      </c>
      <c r="I72" s="7"/>
      <c r="J72" s="5"/>
      <c r="K72" s="7">
        <v>4.7961630695443649</v>
      </c>
      <c r="L72" s="36"/>
      <c r="M72" s="50">
        <v>70</v>
      </c>
      <c r="N72" s="34"/>
      <c r="O72" s="13">
        <v>7</v>
      </c>
      <c r="P72" s="34"/>
      <c r="Q72" s="24"/>
      <c r="R72" s="5"/>
      <c r="S72" s="5">
        <v>20</v>
      </c>
      <c r="T72" s="5">
        <v>6.28</v>
      </c>
      <c r="U72" s="5"/>
      <c r="V72" s="5"/>
      <c r="W72" s="5">
        <v>3.1847133757961781</v>
      </c>
      <c r="X72" s="19"/>
      <c r="Y72" s="5">
        <f>K72</f>
        <v>4.7961630695443649</v>
      </c>
      <c r="Z72" s="5">
        <v>8.6999999999999993</v>
      </c>
      <c r="AA72" s="5">
        <v>5.96</v>
      </c>
      <c r="AB72" s="5">
        <v>8.6999999999999993</v>
      </c>
      <c r="AC72" s="5">
        <v>4.71</v>
      </c>
      <c r="AD72" s="34"/>
      <c r="AE72" s="34"/>
      <c r="AF72" s="34"/>
      <c r="AG72" s="34"/>
      <c r="AH72" s="33"/>
    </row>
    <row r="73" spans="1:34" x14ac:dyDescent="0.4">
      <c r="A73"/>
      <c r="C73" s="2">
        <v>12</v>
      </c>
      <c r="D73" s="2"/>
      <c r="E73" s="24"/>
      <c r="F73" s="24"/>
      <c r="G73" s="29"/>
      <c r="H73" s="29"/>
      <c r="I73" s="5"/>
      <c r="J73" s="5"/>
      <c r="K73" s="29"/>
      <c r="L73" s="36"/>
      <c r="M73" s="50">
        <v>70</v>
      </c>
      <c r="N73" s="34"/>
      <c r="O73" s="13">
        <v>12</v>
      </c>
      <c r="P73" s="34"/>
      <c r="Q73" s="24"/>
      <c r="R73" s="5"/>
      <c r="S73" s="29" t="s">
        <v>61</v>
      </c>
      <c r="T73" s="29" t="s">
        <v>61</v>
      </c>
      <c r="U73" s="5"/>
      <c r="V73" s="5"/>
      <c r="W73" s="29" t="s">
        <v>61</v>
      </c>
      <c r="X73" s="19"/>
      <c r="Y73" s="36"/>
      <c r="Z73" s="5">
        <v>8.8000000000000007</v>
      </c>
      <c r="AA73" s="5">
        <v>6.12</v>
      </c>
      <c r="AB73" s="5">
        <v>9.8000000000000007</v>
      </c>
      <c r="AC73" s="5">
        <v>5.92</v>
      </c>
      <c r="AD73" s="34"/>
      <c r="AE73" s="34"/>
      <c r="AF73" s="34"/>
      <c r="AG73" s="34"/>
      <c r="AH73" s="33"/>
    </row>
    <row r="74" spans="1:34" x14ac:dyDescent="0.4">
      <c r="A74" s="8"/>
      <c r="B74" s="8"/>
      <c r="C74" s="9"/>
      <c r="D74" s="9"/>
      <c r="E74" s="30"/>
      <c r="F74" s="30"/>
      <c r="G74" s="22"/>
      <c r="H74" s="22"/>
      <c r="I74" s="22"/>
      <c r="J74" s="22"/>
      <c r="K74" s="22"/>
      <c r="L74" s="30"/>
      <c r="M74" s="18"/>
      <c r="N74" s="30"/>
      <c r="O74" s="14"/>
      <c r="P74" s="30"/>
      <c r="Q74" s="30"/>
      <c r="R74" s="22"/>
      <c r="S74" s="22"/>
      <c r="T74" s="22"/>
      <c r="U74" s="22"/>
      <c r="V74" s="22"/>
      <c r="W74" s="22"/>
      <c r="X74" s="18"/>
      <c r="Y74" s="31"/>
      <c r="Z74" s="31"/>
      <c r="AA74" s="31"/>
      <c r="AB74" s="31"/>
      <c r="AC74" s="31"/>
      <c r="AD74" s="30"/>
      <c r="AE74" s="30"/>
      <c r="AF74" s="30"/>
      <c r="AG74" s="30"/>
      <c r="AH74" s="30"/>
    </row>
    <row r="75" spans="1:34" x14ac:dyDescent="0.4">
      <c r="A75" s="3"/>
      <c r="B75" s="1" t="s">
        <v>103</v>
      </c>
      <c r="C75" s="4">
        <v>-28</v>
      </c>
      <c r="D75" s="2"/>
      <c r="E75" s="24"/>
      <c r="F75" s="24"/>
      <c r="G75" s="5"/>
      <c r="H75" s="5"/>
      <c r="I75" s="5"/>
      <c r="J75" s="5"/>
      <c r="K75" s="5"/>
      <c r="L75" s="36"/>
      <c r="M75" s="50">
        <v>55</v>
      </c>
      <c r="N75" s="34"/>
      <c r="O75" s="48">
        <v>-28</v>
      </c>
      <c r="P75" s="34"/>
      <c r="Q75" s="24"/>
      <c r="R75" s="5"/>
      <c r="S75" s="5"/>
      <c r="T75" s="5"/>
      <c r="U75" s="5"/>
      <c r="V75" s="5"/>
      <c r="W75" s="5"/>
      <c r="X75" s="4">
        <v>0</v>
      </c>
      <c r="Y75" s="36"/>
      <c r="Z75" s="24"/>
      <c r="AA75" s="24"/>
      <c r="AB75" s="24"/>
      <c r="AC75" s="24"/>
      <c r="AD75" s="34"/>
      <c r="AE75" s="13" t="s">
        <v>37</v>
      </c>
      <c r="AF75" s="5">
        <v>25</v>
      </c>
      <c r="AG75" s="5">
        <v>8.4700000000000006</v>
      </c>
      <c r="AH75" s="7">
        <f>AF75/AG75</f>
        <v>2.9515938606847696</v>
      </c>
    </row>
    <row r="76" spans="1:34" x14ac:dyDescent="0.4">
      <c r="A76" s="46"/>
      <c r="C76" s="13">
        <v>-25</v>
      </c>
      <c r="D76" s="2"/>
      <c r="E76" s="24"/>
      <c r="F76" s="24"/>
      <c r="G76" s="5"/>
      <c r="H76" s="5"/>
      <c r="I76" s="5"/>
      <c r="J76" s="5"/>
      <c r="K76" s="5"/>
      <c r="L76" s="36"/>
      <c r="M76" s="50">
        <v>55</v>
      </c>
      <c r="N76" s="34"/>
      <c r="O76" s="13">
        <v>-25</v>
      </c>
      <c r="P76" s="34"/>
      <c r="Q76" s="24"/>
      <c r="R76" s="5"/>
      <c r="S76" s="5"/>
      <c r="T76" s="5"/>
      <c r="U76" s="5"/>
      <c r="V76" s="5"/>
      <c r="W76" s="5"/>
      <c r="X76" s="19"/>
      <c r="Y76" s="36"/>
      <c r="Z76" s="24"/>
      <c r="AA76" s="24"/>
      <c r="AB76" s="24"/>
      <c r="AC76" s="24"/>
      <c r="AD76" s="34"/>
      <c r="AE76" s="13"/>
      <c r="AF76" s="7"/>
      <c r="AG76" s="7"/>
      <c r="AH76" s="7"/>
    </row>
    <row r="77" spans="1:34" x14ac:dyDescent="0.4">
      <c r="A77" s="3"/>
      <c r="C77" s="13">
        <v>-20</v>
      </c>
      <c r="D77" s="2"/>
      <c r="E77" s="24"/>
      <c r="F77" s="24"/>
      <c r="G77" s="5">
        <v>25</v>
      </c>
      <c r="H77" s="5">
        <v>12.9</v>
      </c>
      <c r="I77" s="5"/>
      <c r="J77" s="5"/>
      <c r="K77" s="5">
        <v>1.9379844961240309</v>
      </c>
      <c r="L77" s="36"/>
      <c r="M77" s="50">
        <v>55</v>
      </c>
      <c r="N77" s="34"/>
      <c r="O77" s="13">
        <v>-20</v>
      </c>
      <c r="P77" s="34"/>
      <c r="Q77" s="24"/>
      <c r="R77" s="5"/>
      <c r="S77" s="5">
        <v>25</v>
      </c>
      <c r="T77" s="5">
        <v>17.5</v>
      </c>
      <c r="U77" s="5"/>
      <c r="V77" s="5"/>
      <c r="W77" s="5">
        <v>1.4285714285714286</v>
      </c>
      <c r="X77" s="19"/>
      <c r="Y77" s="36"/>
      <c r="Z77" s="24"/>
      <c r="AA77" s="24"/>
      <c r="AB77" s="24"/>
      <c r="AC77" s="24"/>
      <c r="AD77" s="34"/>
      <c r="AE77" s="13" t="s">
        <v>38</v>
      </c>
      <c r="AF77" s="7"/>
      <c r="AG77" s="7"/>
      <c r="AH77" s="7"/>
    </row>
    <row r="78" spans="1:34" x14ac:dyDescent="0.4">
      <c r="A78" s="3"/>
      <c r="C78" s="2">
        <v>-15</v>
      </c>
      <c r="D78" s="2"/>
      <c r="E78" s="24"/>
      <c r="F78" s="24"/>
      <c r="G78" s="5">
        <v>25</v>
      </c>
      <c r="H78" s="5">
        <v>11.8</v>
      </c>
      <c r="I78" s="5"/>
      <c r="J78" s="5"/>
      <c r="K78" s="5">
        <v>2.1186440677966099</v>
      </c>
      <c r="L78" s="36"/>
      <c r="M78" s="50">
        <v>65</v>
      </c>
      <c r="N78" s="34"/>
      <c r="O78" s="13">
        <v>-15</v>
      </c>
      <c r="P78" s="34"/>
      <c r="Q78" s="24"/>
      <c r="R78" s="5"/>
      <c r="S78" s="5">
        <v>25</v>
      </c>
      <c r="T78" s="5">
        <v>15.8</v>
      </c>
      <c r="U78" s="5"/>
      <c r="V78" s="5"/>
      <c r="W78" s="5">
        <v>1.5822784810126582</v>
      </c>
      <c r="X78" s="19"/>
      <c r="Y78" s="36"/>
      <c r="Z78" s="24"/>
      <c r="AA78" s="24"/>
      <c r="AB78" s="24"/>
      <c r="AC78" s="24"/>
      <c r="AD78" s="34"/>
      <c r="AE78" s="13" t="s">
        <v>40</v>
      </c>
      <c r="AF78" s="5">
        <v>25</v>
      </c>
      <c r="AG78" s="5">
        <v>7.26</v>
      </c>
      <c r="AH78" s="5">
        <f>AF78/AG78</f>
        <v>3.443526170798898</v>
      </c>
    </row>
    <row r="79" spans="1:34" x14ac:dyDescent="0.4">
      <c r="A79" s="3"/>
      <c r="C79" s="2">
        <v>-10</v>
      </c>
      <c r="D79" s="2"/>
      <c r="E79" s="24"/>
      <c r="F79" s="24"/>
      <c r="G79" s="29" t="s">
        <v>61</v>
      </c>
      <c r="H79" s="29" t="s">
        <v>61</v>
      </c>
      <c r="I79" s="5"/>
      <c r="J79" s="5"/>
      <c r="K79" s="29" t="s">
        <v>61</v>
      </c>
      <c r="L79" s="36"/>
      <c r="M79" s="50">
        <v>65</v>
      </c>
      <c r="N79" s="34"/>
      <c r="O79" s="13">
        <v>-10</v>
      </c>
      <c r="P79" s="34"/>
      <c r="Q79" s="24"/>
      <c r="R79" s="5"/>
      <c r="S79" s="29" t="s">
        <v>61</v>
      </c>
      <c r="T79" s="29" t="s">
        <v>61</v>
      </c>
      <c r="U79" s="5"/>
      <c r="V79" s="5"/>
      <c r="W79" s="29" t="s">
        <v>61</v>
      </c>
      <c r="X79" s="19"/>
      <c r="Y79" s="17"/>
      <c r="Z79" s="5">
        <v>26.1</v>
      </c>
      <c r="AA79" s="5">
        <v>2.19</v>
      </c>
      <c r="AB79" s="5">
        <v>27.1</v>
      </c>
      <c r="AC79" s="5">
        <v>1.62</v>
      </c>
      <c r="AD79" s="34"/>
      <c r="AE79" s="33"/>
    </row>
    <row r="80" spans="1:34" x14ac:dyDescent="0.4">
      <c r="A80" s="3"/>
      <c r="C80" s="2">
        <v>-7</v>
      </c>
      <c r="D80" s="2"/>
      <c r="E80" s="24"/>
      <c r="F80" s="24"/>
      <c r="G80" s="5">
        <v>25</v>
      </c>
      <c r="H80" s="5">
        <v>10.6</v>
      </c>
      <c r="I80" s="5"/>
      <c r="J80" s="5"/>
      <c r="K80" s="5">
        <v>2.358490566037736</v>
      </c>
      <c r="L80" s="36"/>
      <c r="M80" s="50">
        <v>70</v>
      </c>
      <c r="N80" s="34"/>
      <c r="O80" s="13">
        <v>-7</v>
      </c>
      <c r="P80" s="34"/>
      <c r="Q80" s="24"/>
      <c r="R80" s="5"/>
      <c r="S80" s="5">
        <v>25</v>
      </c>
      <c r="T80" s="5">
        <v>13.9</v>
      </c>
      <c r="U80" s="5"/>
      <c r="V80" s="5"/>
      <c r="W80" s="5">
        <v>1.7985611510791366</v>
      </c>
      <c r="X80" s="19"/>
      <c r="Y80" s="5">
        <f>AA80*(1.029-(0.05*Z80/G82))</f>
        <v>2.3831191999999994</v>
      </c>
      <c r="Z80" s="5">
        <v>22.12</v>
      </c>
      <c r="AA80" s="5">
        <v>2.42</v>
      </c>
      <c r="AB80" s="5">
        <v>24.4</v>
      </c>
      <c r="AC80" s="5">
        <v>2.09</v>
      </c>
      <c r="AD80" s="34"/>
      <c r="AE80" s="34"/>
      <c r="AF80" s="2"/>
      <c r="AG80" s="2"/>
    </row>
    <row r="81" spans="1:34" x14ac:dyDescent="0.4">
      <c r="A81" s="3"/>
      <c r="C81" s="2">
        <v>2</v>
      </c>
      <c r="D81" s="2"/>
      <c r="E81" s="24"/>
      <c r="F81" s="24"/>
      <c r="G81" s="5">
        <v>25</v>
      </c>
      <c r="H81" s="5">
        <v>8.93</v>
      </c>
      <c r="I81" s="5"/>
      <c r="J81" s="5"/>
      <c r="K81" s="5">
        <v>2.7995520716685331</v>
      </c>
      <c r="L81" s="36"/>
      <c r="M81" s="50">
        <v>70</v>
      </c>
      <c r="N81" s="34"/>
      <c r="O81" s="13">
        <v>2</v>
      </c>
      <c r="P81" s="34"/>
      <c r="Q81" s="24"/>
      <c r="R81" s="5"/>
      <c r="S81" s="5">
        <v>25</v>
      </c>
      <c r="T81" s="5">
        <v>12.7</v>
      </c>
      <c r="U81" s="5"/>
      <c r="V81" s="5"/>
      <c r="W81" s="5">
        <v>1.9685039370078741</v>
      </c>
      <c r="X81" s="19"/>
      <c r="Y81" s="5">
        <f>AA81*(0.906-(0.044*Z81/G82))</f>
        <v>3.7406976000000003</v>
      </c>
      <c r="Z81" s="5">
        <v>13.5</v>
      </c>
      <c r="AA81" s="5">
        <v>4.24</v>
      </c>
      <c r="AB81" s="5">
        <v>13.9</v>
      </c>
      <c r="AC81" s="5">
        <v>3.55</v>
      </c>
      <c r="AD81" s="34"/>
      <c r="AE81" s="34"/>
      <c r="AF81" s="34"/>
      <c r="AG81" s="34"/>
      <c r="AH81" s="33"/>
    </row>
    <row r="82" spans="1:34" x14ac:dyDescent="0.4">
      <c r="A82" s="3"/>
      <c r="C82" s="2">
        <v>7</v>
      </c>
      <c r="D82" s="2"/>
      <c r="E82" s="24"/>
      <c r="F82" s="24"/>
      <c r="G82" s="5">
        <v>25</v>
      </c>
      <c r="H82" s="5">
        <v>5.55</v>
      </c>
      <c r="I82" s="5"/>
      <c r="J82" s="5"/>
      <c r="K82" s="5">
        <v>4.5045045045045047</v>
      </c>
      <c r="L82" s="36"/>
      <c r="M82" s="50">
        <v>70</v>
      </c>
      <c r="N82" s="34"/>
      <c r="O82" s="13">
        <v>7</v>
      </c>
      <c r="P82" s="34"/>
      <c r="Q82" s="24"/>
      <c r="R82" s="5"/>
      <c r="S82" s="5">
        <v>25</v>
      </c>
      <c r="T82" s="5">
        <v>8.33</v>
      </c>
      <c r="U82" s="5"/>
      <c r="V82" s="5"/>
      <c r="W82" s="5">
        <v>3.0012004801920766</v>
      </c>
      <c r="X82" s="19"/>
      <c r="Y82" s="5">
        <f>K82</f>
        <v>4.5045045045045047</v>
      </c>
      <c r="Z82" s="5">
        <v>8.6999999999999993</v>
      </c>
      <c r="AA82" s="5">
        <v>5.88</v>
      </c>
      <c r="AB82" s="5">
        <v>9.8000000000000007</v>
      </c>
      <c r="AC82" s="5">
        <v>4.78</v>
      </c>
      <c r="AD82" s="34"/>
      <c r="AE82" s="34"/>
      <c r="AF82" s="34"/>
      <c r="AG82" s="34"/>
      <c r="AH82" s="33"/>
    </row>
    <row r="83" spans="1:34" x14ac:dyDescent="0.4">
      <c r="A83"/>
      <c r="C83" s="2">
        <v>12</v>
      </c>
      <c r="D83" s="2"/>
      <c r="E83" s="24"/>
      <c r="F83" s="24"/>
      <c r="G83" s="29"/>
      <c r="H83" s="29"/>
      <c r="I83" s="5"/>
      <c r="J83" s="5"/>
      <c r="K83" s="29"/>
      <c r="L83" s="36"/>
      <c r="M83" s="50">
        <v>70</v>
      </c>
      <c r="N83" s="34"/>
      <c r="O83" s="13">
        <v>12</v>
      </c>
      <c r="P83" s="34"/>
      <c r="Q83" s="24"/>
      <c r="R83" s="5"/>
      <c r="S83" s="29" t="s">
        <v>61</v>
      </c>
      <c r="T83" s="29" t="s">
        <v>61</v>
      </c>
      <c r="U83" s="5"/>
      <c r="V83" s="5"/>
      <c r="W83" s="29" t="s">
        <v>61</v>
      </c>
      <c r="X83" s="19"/>
      <c r="Y83" s="36"/>
      <c r="Z83" s="5">
        <v>8.8000000000000007</v>
      </c>
      <c r="AA83" s="5">
        <v>6.08</v>
      </c>
      <c r="AB83" s="5">
        <v>9.8000000000000007</v>
      </c>
      <c r="AC83" s="5">
        <v>5.74</v>
      </c>
      <c r="AD83" s="34"/>
      <c r="AE83" s="34"/>
      <c r="AF83" s="34"/>
      <c r="AG83" s="34"/>
      <c r="AH83" s="33"/>
    </row>
    <row r="84" spans="1:34" x14ac:dyDescent="0.4">
      <c r="A84" s="8"/>
      <c r="B84" s="8"/>
      <c r="C84" s="9"/>
      <c r="D84" s="9"/>
      <c r="E84" s="30"/>
      <c r="F84" s="30"/>
      <c r="G84" s="22"/>
      <c r="H84" s="22"/>
      <c r="I84" s="22"/>
      <c r="J84" s="22"/>
      <c r="K84" s="22"/>
      <c r="L84" s="30"/>
      <c r="M84" s="18"/>
      <c r="N84" s="30"/>
      <c r="O84" s="14"/>
      <c r="P84" s="30"/>
      <c r="Q84" s="30"/>
      <c r="R84" s="22"/>
      <c r="S84" s="22"/>
      <c r="T84" s="22"/>
      <c r="U84" s="22"/>
      <c r="V84" s="22"/>
      <c r="W84" s="22"/>
      <c r="X84" s="18"/>
      <c r="Y84" s="31"/>
      <c r="Z84" s="31"/>
      <c r="AA84" s="31"/>
      <c r="AB84" s="31"/>
      <c r="AC84" s="31"/>
      <c r="AD84" s="30"/>
      <c r="AE84" s="30"/>
      <c r="AF84" s="30"/>
      <c r="AG84" s="30"/>
      <c r="AH84" s="30"/>
    </row>
    <row r="85" spans="1:34" x14ac:dyDescent="0.4">
      <c r="A85" s="3"/>
      <c r="B85" s="1" t="s">
        <v>102</v>
      </c>
      <c r="C85" s="4">
        <v>-28</v>
      </c>
      <c r="D85" s="2"/>
      <c r="E85" s="24"/>
      <c r="F85" s="24"/>
      <c r="G85" s="5"/>
      <c r="H85" s="5"/>
      <c r="I85" s="5"/>
      <c r="J85" s="5"/>
      <c r="K85" s="5"/>
      <c r="L85" s="36"/>
      <c r="M85" s="50">
        <v>55</v>
      </c>
      <c r="N85" s="34"/>
      <c r="O85" s="48">
        <v>-28</v>
      </c>
      <c r="P85" s="34"/>
      <c r="Q85" s="24"/>
      <c r="R85" s="5"/>
      <c r="S85" s="5"/>
      <c r="T85" s="5"/>
      <c r="U85" s="5"/>
      <c r="V85" s="5"/>
      <c r="W85" s="5"/>
      <c r="X85" s="4">
        <v>0</v>
      </c>
      <c r="Y85" s="36"/>
      <c r="Z85" s="24"/>
      <c r="AA85" s="24"/>
      <c r="AB85" s="24"/>
      <c r="AC85" s="24"/>
      <c r="AD85" s="34"/>
      <c r="AE85" s="13" t="s">
        <v>37</v>
      </c>
      <c r="AF85" s="5">
        <v>30</v>
      </c>
      <c r="AG85" s="5">
        <v>14.85</v>
      </c>
      <c r="AH85" s="7">
        <f>AF85/AG85</f>
        <v>2.0202020202020203</v>
      </c>
    </row>
    <row r="86" spans="1:34" x14ac:dyDescent="0.4">
      <c r="A86" s="46"/>
      <c r="C86" s="13">
        <v>-25</v>
      </c>
      <c r="D86" s="2"/>
      <c r="E86" s="24"/>
      <c r="F86" s="24"/>
      <c r="G86" s="5"/>
      <c r="H86" s="5"/>
      <c r="I86" s="5"/>
      <c r="J86" s="5"/>
      <c r="K86" s="5"/>
      <c r="L86" s="36"/>
      <c r="M86" s="50">
        <v>55</v>
      </c>
      <c r="N86" s="34"/>
      <c r="O86" s="13">
        <v>-25</v>
      </c>
      <c r="P86" s="34"/>
      <c r="Q86" s="24"/>
      <c r="R86" s="5"/>
      <c r="S86" s="5"/>
      <c r="T86" s="5"/>
      <c r="U86" s="5"/>
      <c r="V86" s="5"/>
      <c r="W86" s="5"/>
      <c r="X86" s="19"/>
      <c r="Y86" s="36"/>
      <c r="Z86" s="24"/>
      <c r="AA86" s="24"/>
      <c r="AB86" s="24"/>
      <c r="AC86" s="24"/>
      <c r="AD86" s="34"/>
      <c r="AE86" s="13"/>
      <c r="AF86" s="7"/>
      <c r="AG86" s="7"/>
      <c r="AH86" s="7"/>
    </row>
    <row r="87" spans="1:34" x14ac:dyDescent="0.4">
      <c r="A87" s="3"/>
      <c r="C87" s="13">
        <v>-20</v>
      </c>
      <c r="D87" s="2"/>
      <c r="E87" s="24"/>
      <c r="F87" s="24"/>
      <c r="G87" s="5">
        <v>25</v>
      </c>
      <c r="H87" s="5">
        <v>12.9</v>
      </c>
      <c r="I87" s="5"/>
      <c r="J87" s="5"/>
      <c r="K87" s="5">
        <v>1.9379844961240309</v>
      </c>
      <c r="L87" s="36"/>
      <c r="M87" s="50">
        <v>55</v>
      </c>
      <c r="N87" s="34"/>
      <c r="O87" s="13">
        <v>-20</v>
      </c>
      <c r="P87" s="34"/>
      <c r="Q87" s="24"/>
      <c r="R87" s="5"/>
      <c r="S87" s="5">
        <v>25</v>
      </c>
      <c r="T87" s="5">
        <v>17.5</v>
      </c>
      <c r="U87" s="5"/>
      <c r="V87" s="5"/>
      <c r="W87" s="5">
        <v>1.4285714285714286</v>
      </c>
      <c r="X87" s="34"/>
      <c r="Y87" s="36"/>
      <c r="Z87" s="24"/>
      <c r="AA87" s="24"/>
      <c r="AB87" s="24"/>
      <c r="AC87" s="24"/>
      <c r="AD87" s="34"/>
      <c r="AE87" s="13" t="s">
        <v>38</v>
      </c>
      <c r="AF87" s="7"/>
      <c r="AG87" s="7"/>
      <c r="AH87" s="7"/>
    </row>
    <row r="88" spans="1:34" x14ac:dyDescent="0.4">
      <c r="A88" s="3"/>
      <c r="C88" s="2">
        <v>-15</v>
      </c>
      <c r="D88" s="2"/>
      <c r="E88" s="24"/>
      <c r="F88" s="24"/>
      <c r="G88" s="5">
        <v>30</v>
      </c>
      <c r="H88" s="5">
        <v>15.5</v>
      </c>
      <c r="I88" s="5"/>
      <c r="J88" s="5"/>
      <c r="K88" s="5">
        <v>1.935483870967742</v>
      </c>
      <c r="L88" s="36"/>
      <c r="M88" s="50">
        <v>65</v>
      </c>
      <c r="N88" s="34"/>
      <c r="O88" s="13">
        <v>-15</v>
      </c>
      <c r="P88" s="34"/>
      <c r="Q88" s="24"/>
      <c r="R88" s="5"/>
      <c r="S88" s="5">
        <v>30</v>
      </c>
      <c r="T88" s="5">
        <v>20.9</v>
      </c>
      <c r="U88" s="5"/>
      <c r="V88" s="5"/>
      <c r="W88" s="5">
        <v>1.4354066985645935</v>
      </c>
      <c r="X88" s="34"/>
      <c r="Y88" s="36"/>
      <c r="Z88" s="24"/>
      <c r="AA88" s="24"/>
      <c r="AB88" s="24"/>
      <c r="AC88" s="24"/>
      <c r="AD88" s="34"/>
      <c r="AE88" s="13" t="s">
        <v>40</v>
      </c>
      <c r="AF88" s="5">
        <v>30</v>
      </c>
      <c r="AG88" s="5">
        <v>9.06</v>
      </c>
      <c r="AH88" s="5">
        <f>AF88/AG88</f>
        <v>3.3112582781456954</v>
      </c>
    </row>
    <row r="89" spans="1:34" x14ac:dyDescent="0.4">
      <c r="A89" s="3"/>
      <c r="C89" s="2">
        <v>-10</v>
      </c>
      <c r="D89" s="2"/>
      <c r="E89" s="24"/>
      <c r="F89" s="24"/>
      <c r="G89" s="29" t="s">
        <v>61</v>
      </c>
      <c r="H89" s="29" t="s">
        <v>61</v>
      </c>
      <c r="I89" s="5"/>
      <c r="J89" s="5"/>
      <c r="K89" s="29" t="s">
        <v>61</v>
      </c>
      <c r="L89" s="36"/>
      <c r="M89" s="50">
        <v>65</v>
      </c>
      <c r="N89" s="34"/>
      <c r="O89" s="13">
        <v>-10</v>
      </c>
      <c r="P89" s="34"/>
      <c r="Q89" s="24"/>
      <c r="R89" s="5"/>
      <c r="S89" s="29" t="s">
        <v>61</v>
      </c>
      <c r="T89" s="29" t="s">
        <v>61</v>
      </c>
      <c r="U89" s="5"/>
      <c r="V89" s="5"/>
      <c r="W89" s="29" t="s">
        <v>61</v>
      </c>
      <c r="X89" s="34"/>
      <c r="Y89" s="49"/>
      <c r="Z89" s="5">
        <v>26.5</v>
      </c>
      <c r="AA89" s="5">
        <v>2.2200000000000002</v>
      </c>
      <c r="AB89" s="5">
        <v>30</v>
      </c>
      <c r="AC89" s="5">
        <v>1.68</v>
      </c>
      <c r="AD89" s="34"/>
      <c r="AE89" s="33"/>
      <c r="AF89" s="33"/>
      <c r="AG89" s="33"/>
      <c r="AH89" s="33"/>
    </row>
    <row r="90" spans="1:34" x14ac:dyDescent="0.4">
      <c r="A90" s="3"/>
      <c r="C90" s="2">
        <v>-7</v>
      </c>
      <c r="D90" s="2"/>
      <c r="E90" s="24"/>
      <c r="F90" s="24"/>
      <c r="G90" s="5">
        <v>30</v>
      </c>
      <c r="H90" s="5">
        <v>12.9</v>
      </c>
      <c r="I90" s="5"/>
      <c r="J90" s="5"/>
      <c r="K90" s="5">
        <v>2.3255813953488373</v>
      </c>
      <c r="L90" s="36"/>
      <c r="M90" s="50">
        <v>70</v>
      </c>
      <c r="N90" s="34"/>
      <c r="O90" s="13">
        <v>-7</v>
      </c>
      <c r="P90" s="34"/>
      <c r="Q90" s="24"/>
      <c r="R90" s="5"/>
      <c r="S90" s="5">
        <v>30</v>
      </c>
      <c r="T90" s="5">
        <v>20.100000000000001</v>
      </c>
      <c r="U90" s="5"/>
      <c r="V90" s="5"/>
      <c r="W90" s="5">
        <v>1.4925373134328357</v>
      </c>
      <c r="X90" s="34"/>
      <c r="Y90" s="5">
        <f>AA90*(1.029-(0.05*Z90/G92))</f>
        <v>2.2848133333333331</v>
      </c>
      <c r="Z90" s="5">
        <v>26.5</v>
      </c>
      <c r="AA90" s="5">
        <v>2.3199999999999998</v>
      </c>
      <c r="AB90" s="5">
        <v>26.54</v>
      </c>
      <c r="AC90" s="5">
        <v>1.83</v>
      </c>
      <c r="AD90" s="34"/>
      <c r="AE90" s="34"/>
      <c r="AF90" s="34"/>
      <c r="AG90" s="34"/>
      <c r="AH90" s="33"/>
    </row>
    <row r="91" spans="1:34" x14ac:dyDescent="0.4">
      <c r="A91" s="3"/>
      <c r="C91" s="2">
        <v>2</v>
      </c>
      <c r="D91" s="2"/>
      <c r="E91" s="24"/>
      <c r="F91" s="24"/>
      <c r="G91" s="5">
        <v>30</v>
      </c>
      <c r="H91" s="5">
        <v>12</v>
      </c>
      <c r="I91" s="5"/>
      <c r="J91" s="5"/>
      <c r="K91" s="5">
        <v>2.5</v>
      </c>
      <c r="L91" s="36"/>
      <c r="M91" s="50">
        <v>70</v>
      </c>
      <c r="N91" s="34"/>
      <c r="O91" s="13">
        <v>2</v>
      </c>
      <c r="P91" s="34"/>
      <c r="Q91" s="24"/>
      <c r="R91" s="5"/>
      <c r="S91" s="5">
        <v>30</v>
      </c>
      <c r="T91" s="5">
        <v>15.4</v>
      </c>
      <c r="U91" s="5"/>
      <c r="V91" s="5"/>
      <c r="W91" s="5">
        <v>1.948051948051948</v>
      </c>
      <c r="X91" s="34"/>
      <c r="Y91" s="5">
        <f>AA91*(0.906-(0.044*Z91/G92))</f>
        <v>3.2289984</v>
      </c>
      <c r="Z91" s="5">
        <v>16.2</v>
      </c>
      <c r="AA91" s="5">
        <v>3.66</v>
      </c>
      <c r="AB91" s="5">
        <v>16.2</v>
      </c>
      <c r="AC91" s="5">
        <v>3.4</v>
      </c>
      <c r="AD91" s="34"/>
      <c r="AE91" s="34"/>
      <c r="AF91" s="34"/>
      <c r="AG91" s="34"/>
      <c r="AH91" s="33"/>
    </row>
    <row r="92" spans="1:34" x14ac:dyDescent="0.4">
      <c r="A92" s="3"/>
      <c r="C92" s="2">
        <v>7</v>
      </c>
      <c r="D92" s="2"/>
      <c r="E92" s="24"/>
      <c r="F92" s="24"/>
      <c r="G92" s="5">
        <v>30</v>
      </c>
      <c r="H92" s="5">
        <v>6.92</v>
      </c>
      <c r="I92" s="5"/>
      <c r="J92" s="5"/>
      <c r="K92" s="5">
        <v>4.3352601156069364</v>
      </c>
      <c r="L92" s="36"/>
      <c r="M92" s="50">
        <v>70</v>
      </c>
      <c r="N92" s="34"/>
      <c r="O92" s="13">
        <v>7</v>
      </c>
      <c r="P92" s="34"/>
      <c r="Q92" s="24"/>
      <c r="R92" s="5"/>
      <c r="S92" s="5">
        <v>30</v>
      </c>
      <c r="T92" s="5">
        <v>10</v>
      </c>
      <c r="U92" s="5"/>
      <c r="V92" s="5"/>
      <c r="W92" s="5">
        <v>3</v>
      </c>
      <c r="X92" s="34"/>
      <c r="Y92" s="5">
        <f>K92</f>
        <v>4.3352601156069364</v>
      </c>
      <c r="Z92" s="5">
        <v>10.4</v>
      </c>
      <c r="AA92" s="5">
        <v>6.14</v>
      </c>
      <c r="AB92" s="5">
        <v>10.4</v>
      </c>
      <c r="AC92" s="5">
        <v>4.99</v>
      </c>
      <c r="AD92" s="34"/>
      <c r="AE92" s="34"/>
      <c r="AF92" s="34"/>
      <c r="AG92" s="34"/>
      <c r="AH92" s="33"/>
    </row>
    <row r="93" spans="1:34" x14ac:dyDescent="0.4">
      <c r="A93"/>
      <c r="B93" s="51"/>
      <c r="C93" s="2">
        <v>12</v>
      </c>
      <c r="D93" s="2"/>
      <c r="E93" s="24"/>
      <c r="F93" s="24"/>
      <c r="G93" s="29"/>
      <c r="H93" s="29"/>
      <c r="I93" s="5"/>
      <c r="J93" s="5"/>
      <c r="K93" s="29"/>
      <c r="L93" s="36"/>
      <c r="M93" s="50">
        <v>70</v>
      </c>
      <c r="N93" s="34"/>
      <c r="O93" s="13">
        <v>12</v>
      </c>
      <c r="P93" s="34"/>
      <c r="Q93" s="24"/>
      <c r="R93" s="5"/>
      <c r="S93" s="29" t="s">
        <v>61</v>
      </c>
      <c r="T93" s="29" t="s">
        <v>61</v>
      </c>
      <c r="U93" s="5"/>
      <c r="V93" s="5"/>
      <c r="W93" s="29" t="s">
        <v>61</v>
      </c>
      <c r="X93" s="34"/>
      <c r="Y93" s="36"/>
      <c r="Z93" s="5">
        <v>8.8000000000000007</v>
      </c>
      <c r="AA93" s="5">
        <v>6.17</v>
      </c>
      <c r="AB93" s="5">
        <v>10.199999999999999</v>
      </c>
      <c r="AC93" s="5">
        <v>5.85</v>
      </c>
      <c r="AD93" s="34"/>
      <c r="AE93" s="34"/>
      <c r="AF93" s="34"/>
      <c r="AG93" s="34"/>
      <c r="AH93" s="33"/>
    </row>
    <row r="94" spans="1:34" x14ac:dyDescent="0.4">
      <c r="A94" s="8"/>
      <c r="B94" s="52"/>
      <c r="C94" s="9"/>
      <c r="D94" s="9"/>
      <c r="E94" s="18"/>
      <c r="F94" s="18"/>
      <c r="G94" s="22"/>
      <c r="H94" s="22"/>
      <c r="I94" s="22"/>
      <c r="J94" s="22"/>
      <c r="K94" s="22"/>
      <c r="L94" s="18"/>
      <c r="M94" s="18"/>
      <c r="N94" s="14"/>
      <c r="O94" s="14"/>
      <c r="P94" s="14"/>
      <c r="Q94" s="18"/>
      <c r="R94" s="22"/>
      <c r="S94" s="22"/>
      <c r="T94" s="22"/>
      <c r="U94" s="22"/>
      <c r="V94" s="22"/>
      <c r="W94" s="22"/>
      <c r="X94" s="18"/>
      <c r="Y94" s="22"/>
      <c r="Z94" s="22"/>
      <c r="AA94" s="22"/>
      <c r="AB94" s="22"/>
      <c r="AC94" s="22"/>
      <c r="AD94" s="18"/>
      <c r="AE94" s="14"/>
      <c r="AF94" s="18"/>
      <c r="AG94" s="18"/>
      <c r="AH94" s="18"/>
    </row>
    <row r="95" spans="1:34" x14ac:dyDescent="0.4">
      <c r="A95" s="3"/>
      <c r="B95" s="51" t="s">
        <v>105</v>
      </c>
      <c r="C95" s="4">
        <v>-28</v>
      </c>
      <c r="D95" s="2"/>
      <c r="E95" s="24"/>
      <c r="F95" s="24"/>
      <c r="G95" s="24"/>
      <c r="H95" s="24"/>
      <c r="I95" s="24"/>
      <c r="J95" s="24"/>
      <c r="K95" s="24"/>
      <c r="L95" s="36"/>
      <c r="M95" s="50">
        <v>55</v>
      </c>
      <c r="N95" s="34"/>
      <c r="O95" s="48">
        <v>-28</v>
      </c>
      <c r="P95" s="34"/>
      <c r="Q95" s="24"/>
      <c r="R95" s="24"/>
      <c r="S95" s="24"/>
      <c r="T95" s="24"/>
      <c r="U95" s="24"/>
      <c r="V95" s="24"/>
      <c r="W95" s="24"/>
      <c r="X95" s="4">
        <v>0</v>
      </c>
      <c r="Y95" s="36"/>
      <c r="Z95" s="24"/>
      <c r="AA95" s="24"/>
      <c r="AB95" s="24"/>
      <c r="AC95" s="24"/>
      <c r="AD95" s="34"/>
      <c r="AE95" s="13" t="s">
        <v>37</v>
      </c>
      <c r="AF95" s="5">
        <v>20</v>
      </c>
      <c r="AG95" s="5">
        <v>6.41</v>
      </c>
      <c r="AH95" s="7">
        <f>AF95/AG95</f>
        <v>3.1201248049921997</v>
      </c>
    </row>
    <row r="96" spans="1:34" x14ac:dyDescent="0.4">
      <c r="A96" s="46"/>
      <c r="B96" s="51"/>
      <c r="C96" s="13">
        <v>-25</v>
      </c>
      <c r="D96" s="2"/>
      <c r="E96" s="24"/>
      <c r="F96" s="24"/>
      <c r="G96" s="24"/>
      <c r="H96" s="24"/>
      <c r="I96" s="24"/>
      <c r="J96" s="24"/>
      <c r="K96" s="24"/>
      <c r="L96" s="36"/>
      <c r="M96" s="50">
        <v>55</v>
      </c>
      <c r="N96" s="34"/>
      <c r="O96" s="13">
        <v>-25</v>
      </c>
      <c r="P96" s="34"/>
      <c r="Q96" s="24"/>
      <c r="R96" s="5"/>
      <c r="S96" s="5"/>
      <c r="T96" s="5"/>
      <c r="U96" s="5"/>
      <c r="V96" s="5"/>
      <c r="W96" s="5"/>
      <c r="X96" s="19"/>
      <c r="Y96" s="36"/>
      <c r="Z96" s="24"/>
      <c r="AA96" s="24"/>
      <c r="AB96" s="24"/>
      <c r="AC96" s="24"/>
      <c r="AD96" s="34"/>
      <c r="AE96" s="13"/>
      <c r="AF96" s="7"/>
      <c r="AG96" s="7"/>
      <c r="AH96" s="7"/>
    </row>
    <row r="97" spans="1:34" x14ac:dyDescent="0.4">
      <c r="A97" s="3"/>
      <c r="B97" s="51"/>
      <c r="C97" s="13">
        <v>-20</v>
      </c>
      <c r="D97" s="2"/>
      <c r="E97" s="24"/>
      <c r="F97" s="24"/>
      <c r="G97" s="5">
        <v>20</v>
      </c>
      <c r="H97" s="5">
        <v>10.5</v>
      </c>
      <c r="I97" s="5"/>
      <c r="J97" s="5"/>
      <c r="K97" s="5">
        <v>1.9047619047619047</v>
      </c>
      <c r="L97" s="36"/>
      <c r="M97" s="50">
        <v>55</v>
      </c>
      <c r="N97" s="34"/>
      <c r="O97" s="13">
        <v>-20</v>
      </c>
      <c r="P97" s="34"/>
      <c r="Q97" s="24"/>
      <c r="R97" s="5"/>
      <c r="S97" s="5">
        <v>20</v>
      </c>
      <c r="T97" s="5">
        <v>14.4</v>
      </c>
      <c r="U97" s="5"/>
      <c r="V97" s="5"/>
      <c r="W97" s="5">
        <v>1.3888888888888888</v>
      </c>
      <c r="X97" s="19"/>
      <c r="Y97" s="36"/>
      <c r="Z97" s="24"/>
      <c r="AA97" s="24"/>
      <c r="AB97" s="24"/>
      <c r="AC97" s="24"/>
      <c r="AD97" s="34"/>
      <c r="AE97" s="13" t="s">
        <v>38</v>
      </c>
      <c r="AF97" s="7"/>
      <c r="AG97" s="7"/>
      <c r="AH97" s="7"/>
    </row>
    <row r="98" spans="1:34" x14ac:dyDescent="0.4">
      <c r="A98" s="3"/>
      <c r="B98" s="51"/>
      <c r="C98" s="2">
        <v>-15</v>
      </c>
      <c r="D98" s="2"/>
      <c r="E98" s="24"/>
      <c r="F98" s="24"/>
      <c r="G98" s="5">
        <v>20</v>
      </c>
      <c r="H98" s="5">
        <v>8.5299999999999994</v>
      </c>
      <c r="I98" s="5"/>
      <c r="J98" s="5"/>
      <c r="K98" s="5">
        <v>2.3446658851113718</v>
      </c>
      <c r="L98" s="36"/>
      <c r="M98" s="50">
        <v>65</v>
      </c>
      <c r="N98" s="34"/>
      <c r="O98" s="13">
        <v>-15</v>
      </c>
      <c r="P98" s="34"/>
      <c r="Q98" s="24"/>
      <c r="R98" s="5"/>
      <c r="S98" s="5">
        <v>20</v>
      </c>
      <c r="T98" s="5">
        <v>12</v>
      </c>
      <c r="U98" s="5"/>
      <c r="V98" s="5"/>
      <c r="W98" s="5">
        <v>1.6666666666666667</v>
      </c>
      <c r="X98" s="19"/>
      <c r="Y98" s="36"/>
      <c r="Z98" s="28"/>
      <c r="AA98" s="28"/>
      <c r="AB98" s="28"/>
      <c r="AC98" s="28"/>
      <c r="AD98" s="34"/>
      <c r="AE98" s="13" t="s">
        <v>40</v>
      </c>
      <c r="AF98" s="5">
        <v>20</v>
      </c>
      <c r="AG98" s="5">
        <v>5.58</v>
      </c>
      <c r="AH98" s="5">
        <f>AF98/AG98</f>
        <v>3.5842293906810037</v>
      </c>
    </row>
    <row r="99" spans="1:34" x14ac:dyDescent="0.4">
      <c r="A99" s="3"/>
      <c r="B99" s="51"/>
      <c r="C99" s="2">
        <v>-10</v>
      </c>
      <c r="D99" s="2"/>
      <c r="E99" s="24"/>
      <c r="F99" s="24"/>
      <c r="G99" s="29" t="s">
        <v>61</v>
      </c>
      <c r="H99" s="29" t="s">
        <v>61</v>
      </c>
      <c r="I99" s="5"/>
      <c r="J99" s="5"/>
      <c r="K99" s="29" t="s">
        <v>61</v>
      </c>
      <c r="L99" s="36"/>
      <c r="M99" s="50">
        <v>65</v>
      </c>
      <c r="N99" s="34"/>
      <c r="O99" s="13">
        <v>-10</v>
      </c>
      <c r="P99" s="34"/>
      <c r="Q99" s="24"/>
      <c r="R99" s="5"/>
      <c r="S99" s="29" t="s">
        <v>61</v>
      </c>
      <c r="T99" s="29" t="s">
        <v>61</v>
      </c>
      <c r="U99" s="5"/>
      <c r="V99" s="5"/>
      <c r="W99" s="29" t="s">
        <v>61</v>
      </c>
      <c r="X99" s="19"/>
      <c r="Y99" s="49"/>
      <c r="Z99" s="5">
        <v>22.5</v>
      </c>
      <c r="AA99" s="5">
        <v>2.4</v>
      </c>
      <c r="AB99" s="5">
        <v>22.5</v>
      </c>
      <c r="AC99" s="5">
        <v>1.91</v>
      </c>
      <c r="AD99" s="34"/>
      <c r="AE99" s="33"/>
      <c r="AF99" s="33"/>
      <c r="AG99" s="33"/>
      <c r="AH99" s="33"/>
    </row>
    <row r="100" spans="1:34" x14ac:dyDescent="0.4">
      <c r="A100" s="3"/>
      <c r="B100" s="51"/>
      <c r="C100" s="2">
        <v>-7</v>
      </c>
      <c r="D100" s="2"/>
      <c r="E100" s="24"/>
      <c r="F100" s="24"/>
      <c r="G100" s="5">
        <v>20</v>
      </c>
      <c r="H100" s="5">
        <v>8.0500000000000007</v>
      </c>
      <c r="I100" s="5"/>
      <c r="J100" s="5"/>
      <c r="K100" s="7">
        <v>2.4844720496894408</v>
      </c>
      <c r="L100" s="36"/>
      <c r="M100" s="50">
        <v>70</v>
      </c>
      <c r="N100" s="34"/>
      <c r="O100" s="13">
        <v>-7</v>
      </c>
      <c r="P100" s="34"/>
      <c r="Q100" s="24"/>
      <c r="R100" s="5"/>
      <c r="S100" s="5">
        <v>20</v>
      </c>
      <c r="T100" s="5">
        <v>10.5</v>
      </c>
      <c r="U100" s="5"/>
      <c r="V100" s="5"/>
      <c r="W100" s="5">
        <v>1.9047619047619047</v>
      </c>
      <c r="X100" s="19"/>
      <c r="Y100" s="5">
        <f>AA100*(1.029-(0.05*Z100/G102))</f>
        <v>2.9354325000000001</v>
      </c>
      <c r="Z100" s="5">
        <v>18.899999999999999</v>
      </c>
      <c r="AA100" s="5">
        <v>2.99</v>
      </c>
      <c r="AB100" s="5">
        <v>22.2</v>
      </c>
      <c r="AC100" s="5">
        <v>2.19</v>
      </c>
      <c r="AD100" s="34"/>
      <c r="AE100" s="34"/>
      <c r="AF100" s="34"/>
      <c r="AG100" s="34"/>
      <c r="AH100" s="33"/>
    </row>
    <row r="101" spans="1:34" x14ac:dyDescent="0.4">
      <c r="A101" s="3"/>
      <c r="B101" s="51"/>
      <c r="C101" s="2">
        <v>2</v>
      </c>
      <c r="D101" s="2"/>
      <c r="E101" s="24"/>
      <c r="F101" s="24"/>
      <c r="G101" s="7">
        <v>20</v>
      </c>
      <c r="H101" s="7">
        <v>5.9</v>
      </c>
      <c r="I101" s="7"/>
      <c r="J101" s="5"/>
      <c r="K101" s="7">
        <v>3.3898305084745761</v>
      </c>
      <c r="L101" s="36"/>
      <c r="M101" s="50">
        <v>70</v>
      </c>
      <c r="N101" s="34"/>
      <c r="O101" s="13">
        <v>2</v>
      </c>
      <c r="P101" s="34"/>
      <c r="Q101" s="24"/>
      <c r="R101" s="5"/>
      <c r="S101" s="5">
        <v>20</v>
      </c>
      <c r="T101" s="5">
        <v>9.61</v>
      </c>
      <c r="U101" s="5"/>
      <c r="V101" s="5"/>
      <c r="W101" s="5">
        <v>2.0811654526534862</v>
      </c>
      <c r="X101" s="19"/>
      <c r="Y101" s="5">
        <f>AA101*(0.906-(0.044*Z101/G102))</f>
        <v>3.6275776000000004</v>
      </c>
      <c r="Z101" s="5">
        <v>11.6</v>
      </c>
      <c r="AA101" s="5">
        <v>4.12</v>
      </c>
      <c r="AB101" s="5">
        <v>10.9</v>
      </c>
      <c r="AC101" s="5">
        <v>3.54</v>
      </c>
      <c r="AD101" s="34"/>
      <c r="AE101" s="34"/>
      <c r="AF101" s="34"/>
      <c r="AG101" s="34"/>
      <c r="AH101" s="33"/>
    </row>
    <row r="102" spans="1:34" x14ac:dyDescent="0.4">
      <c r="A102" s="3"/>
      <c r="B102" s="51"/>
      <c r="C102" s="2">
        <v>7</v>
      </c>
      <c r="D102" s="2"/>
      <c r="E102" s="24"/>
      <c r="F102" s="24"/>
      <c r="G102" s="7">
        <v>20</v>
      </c>
      <c r="H102" s="7">
        <v>4.17</v>
      </c>
      <c r="I102" s="7"/>
      <c r="J102" s="5"/>
      <c r="K102" s="7">
        <v>4.7961630695443649</v>
      </c>
      <c r="L102" s="36"/>
      <c r="M102" s="50">
        <v>70</v>
      </c>
      <c r="N102" s="34"/>
      <c r="O102" s="13">
        <v>7</v>
      </c>
      <c r="P102" s="34"/>
      <c r="Q102" s="24"/>
      <c r="R102" s="5"/>
      <c r="S102" s="5">
        <v>20</v>
      </c>
      <c r="T102" s="5">
        <v>6.28</v>
      </c>
      <c r="U102" s="5"/>
      <c r="V102" s="5"/>
      <c r="W102" s="5">
        <v>3.1847133757961781</v>
      </c>
      <c r="X102" s="19"/>
      <c r="Y102" s="5">
        <f>K102</f>
        <v>4.7961630695443649</v>
      </c>
      <c r="Z102" s="5">
        <v>8.6999999999999993</v>
      </c>
      <c r="AA102" s="5">
        <v>5.96</v>
      </c>
      <c r="AB102" s="5">
        <v>8.6999999999999993</v>
      </c>
      <c r="AC102" s="5">
        <v>4.71</v>
      </c>
      <c r="AD102" s="34"/>
      <c r="AE102" s="34"/>
      <c r="AF102" s="34"/>
      <c r="AG102" s="34"/>
      <c r="AH102" s="33"/>
    </row>
    <row r="103" spans="1:34" x14ac:dyDescent="0.4">
      <c r="A103"/>
      <c r="B103" s="51"/>
      <c r="C103" s="2">
        <v>12</v>
      </c>
      <c r="D103" s="2"/>
      <c r="E103" s="24"/>
      <c r="F103" s="24"/>
      <c r="G103" s="29"/>
      <c r="H103" s="29"/>
      <c r="I103" s="5"/>
      <c r="J103" s="5"/>
      <c r="K103" s="29"/>
      <c r="L103" s="36"/>
      <c r="M103" s="50">
        <v>70</v>
      </c>
      <c r="N103" s="34"/>
      <c r="O103" s="13">
        <v>12</v>
      </c>
      <c r="P103" s="34"/>
      <c r="Q103" s="24"/>
      <c r="R103" s="5"/>
      <c r="S103" s="29" t="s">
        <v>61</v>
      </c>
      <c r="T103" s="29" t="s">
        <v>61</v>
      </c>
      <c r="U103" s="5"/>
      <c r="V103" s="5"/>
      <c r="W103" s="29" t="s">
        <v>61</v>
      </c>
      <c r="X103" s="19"/>
      <c r="Y103" s="36"/>
      <c r="Z103" s="5">
        <v>8.8000000000000007</v>
      </c>
      <c r="AA103" s="5">
        <v>6.12</v>
      </c>
      <c r="AB103" s="5">
        <v>9.8000000000000007</v>
      </c>
      <c r="AC103" s="5">
        <v>5.92</v>
      </c>
      <c r="AD103" s="34"/>
      <c r="AE103" s="34"/>
      <c r="AF103" s="34"/>
      <c r="AG103" s="34"/>
      <c r="AH103" s="33"/>
    </row>
    <row r="104" spans="1:34" x14ac:dyDescent="0.4">
      <c r="A104" s="8"/>
      <c r="B104" s="52"/>
      <c r="C104" s="9"/>
      <c r="D104" s="9"/>
      <c r="E104" s="30"/>
      <c r="F104" s="30"/>
      <c r="G104" s="22"/>
      <c r="H104" s="22"/>
      <c r="I104" s="22"/>
      <c r="J104" s="22"/>
      <c r="K104" s="22"/>
      <c r="L104" s="30"/>
      <c r="M104" s="18"/>
      <c r="N104" s="30"/>
      <c r="O104" s="14"/>
      <c r="P104" s="30"/>
      <c r="Q104" s="30"/>
      <c r="R104" s="22"/>
      <c r="S104" s="22"/>
      <c r="T104" s="22"/>
      <c r="U104" s="22"/>
      <c r="V104" s="22"/>
      <c r="W104" s="22"/>
      <c r="X104" s="18"/>
      <c r="Y104" s="31"/>
      <c r="Z104" s="31"/>
      <c r="AA104" s="31"/>
      <c r="AB104" s="31"/>
      <c r="AC104" s="31"/>
      <c r="AD104" s="30"/>
      <c r="AE104" s="30"/>
      <c r="AF104" s="30"/>
      <c r="AG104" s="30"/>
      <c r="AH104" s="30"/>
    </row>
    <row r="105" spans="1:34" x14ac:dyDescent="0.4">
      <c r="A105" s="3"/>
      <c r="B105" s="51" t="s">
        <v>106</v>
      </c>
      <c r="C105" s="4">
        <v>-28</v>
      </c>
      <c r="D105" s="2"/>
      <c r="E105" s="24"/>
      <c r="F105" s="24"/>
      <c r="G105" s="5"/>
      <c r="H105" s="5"/>
      <c r="I105" s="5"/>
      <c r="J105" s="5"/>
      <c r="K105" s="5"/>
      <c r="L105" s="36"/>
      <c r="M105" s="50">
        <v>55</v>
      </c>
      <c r="N105" s="34"/>
      <c r="O105" s="48">
        <v>-28</v>
      </c>
      <c r="P105" s="34"/>
      <c r="Q105" s="24"/>
      <c r="R105" s="5"/>
      <c r="S105" s="5"/>
      <c r="T105" s="5"/>
      <c r="U105" s="5"/>
      <c r="V105" s="5"/>
      <c r="W105" s="5"/>
      <c r="X105" s="4">
        <v>0</v>
      </c>
      <c r="Y105" s="36"/>
      <c r="Z105" s="24"/>
      <c r="AA105" s="24"/>
      <c r="AB105" s="24"/>
      <c r="AC105" s="24"/>
      <c r="AD105" s="34"/>
      <c r="AE105" s="13" t="s">
        <v>37</v>
      </c>
      <c r="AF105" s="5">
        <v>25</v>
      </c>
      <c r="AG105" s="5">
        <v>8.4700000000000006</v>
      </c>
      <c r="AH105" s="7">
        <f>AF105/AG105</f>
        <v>2.9515938606847696</v>
      </c>
    </row>
    <row r="106" spans="1:34" x14ac:dyDescent="0.4">
      <c r="A106" s="46"/>
      <c r="B106" s="51"/>
      <c r="C106" s="13">
        <v>-25</v>
      </c>
      <c r="D106" s="2"/>
      <c r="E106" s="24"/>
      <c r="F106" s="24"/>
      <c r="G106" s="5"/>
      <c r="H106" s="5"/>
      <c r="I106" s="5"/>
      <c r="J106" s="5"/>
      <c r="K106" s="5"/>
      <c r="L106" s="36"/>
      <c r="M106" s="50">
        <v>55</v>
      </c>
      <c r="N106" s="34"/>
      <c r="O106" s="13">
        <v>-25</v>
      </c>
      <c r="P106" s="34"/>
      <c r="Q106" s="24"/>
      <c r="R106" s="5"/>
      <c r="S106" s="5"/>
      <c r="T106" s="5"/>
      <c r="U106" s="5"/>
      <c r="V106" s="5"/>
      <c r="W106" s="5"/>
      <c r="X106" s="19"/>
      <c r="Y106" s="36"/>
      <c r="Z106" s="24"/>
      <c r="AA106" s="24"/>
      <c r="AB106" s="24"/>
      <c r="AC106" s="24"/>
      <c r="AD106" s="34"/>
      <c r="AE106" s="13"/>
      <c r="AF106" s="7"/>
      <c r="AG106" s="7"/>
      <c r="AH106" s="7"/>
    </row>
    <row r="107" spans="1:34" x14ac:dyDescent="0.4">
      <c r="A107" s="3"/>
      <c r="B107" s="51"/>
      <c r="C107" s="13">
        <v>-20</v>
      </c>
      <c r="D107" s="2"/>
      <c r="E107" s="24"/>
      <c r="F107" s="24"/>
      <c r="G107" s="5">
        <v>25</v>
      </c>
      <c r="H107" s="5">
        <v>12.9</v>
      </c>
      <c r="I107" s="5"/>
      <c r="J107" s="5"/>
      <c r="K107" s="5">
        <v>1.9379844961240309</v>
      </c>
      <c r="L107" s="36"/>
      <c r="M107" s="50">
        <v>55</v>
      </c>
      <c r="N107" s="34"/>
      <c r="O107" s="13">
        <v>-20</v>
      </c>
      <c r="P107" s="34"/>
      <c r="Q107" s="24"/>
      <c r="R107" s="5"/>
      <c r="S107" s="5">
        <v>25</v>
      </c>
      <c r="T107" s="5">
        <v>17.5</v>
      </c>
      <c r="U107" s="5"/>
      <c r="V107" s="5"/>
      <c r="W107" s="5">
        <v>1.4285714285714286</v>
      </c>
      <c r="X107" s="19"/>
      <c r="Y107" s="36"/>
      <c r="Z107" s="24"/>
      <c r="AA107" s="24"/>
      <c r="AB107" s="24"/>
      <c r="AC107" s="24"/>
      <c r="AD107" s="34"/>
      <c r="AE107" s="13" t="s">
        <v>38</v>
      </c>
      <c r="AF107" s="7"/>
      <c r="AG107" s="7"/>
      <c r="AH107" s="7"/>
    </row>
    <row r="108" spans="1:34" x14ac:dyDescent="0.4">
      <c r="A108" s="3"/>
      <c r="B108" s="51"/>
      <c r="C108" s="2">
        <v>-15</v>
      </c>
      <c r="D108" s="2"/>
      <c r="E108" s="24"/>
      <c r="F108" s="24"/>
      <c r="G108" s="5">
        <v>25</v>
      </c>
      <c r="H108" s="5">
        <v>11.8</v>
      </c>
      <c r="I108" s="5"/>
      <c r="J108" s="5"/>
      <c r="K108" s="5">
        <v>2.1186440677966099</v>
      </c>
      <c r="L108" s="36"/>
      <c r="M108" s="50">
        <v>65</v>
      </c>
      <c r="N108" s="34"/>
      <c r="O108" s="13">
        <v>-15</v>
      </c>
      <c r="P108" s="34"/>
      <c r="Q108" s="24"/>
      <c r="R108" s="5"/>
      <c r="S108" s="5">
        <v>25</v>
      </c>
      <c r="T108" s="5">
        <v>15.8</v>
      </c>
      <c r="U108" s="5"/>
      <c r="V108" s="5"/>
      <c r="W108" s="5">
        <v>1.5822784810126582</v>
      </c>
      <c r="X108" s="19"/>
      <c r="Y108" s="36"/>
      <c r="Z108" s="24"/>
      <c r="AA108" s="24"/>
      <c r="AB108" s="24"/>
      <c r="AC108" s="24"/>
      <c r="AD108" s="34"/>
      <c r="AE108" s="13" t="s">
        <v>40</v>
      </c>
      <c r="AF108" s="5">
        <v>25</v>
      </c>
      <c r="AG108" s="5">
        <v>7.26</v>
      </c>
      <c r="AH108" s="5">
        <f>AF108/AG108</f>
        <v>3.443526170798898</v>
      </c>
    </row>
    <row r="109" spans="1:34" x14ac:dyDescent="0.4">
      <c r="A109" s="3"/>
      <c r="B109" s="51"/>
      <c r="C109" s="2">
        <v>-10</v>
      </c>
      <c r="D109" s="2"/>
      <c r="E109" s="24"/>
      <c r="F109" s="24"/>
      <c r="G109" s="29" t="s">
        <v>61</v>
      </c>
      <c r="H109" s="29" t="s">
        <v>61</v>
      </c>
      <c r="I109" s="5"/>
      <c r="J109" s="5"/>
      <c r="K109" s="29" t="s">
        <v>61</v>
      </c>
      <c r="L109" s="36"/>
      <c r="M109" s="50">
        <v>65</v>
      </c>
      <c r="N109" s="34"/>
      <c r="O109" s="13">
        <v>-10</v>
      </c>
      <c r="P109" s="34"/>
      <c r="Q109" s="24"/>
      <c r="R109" s="5"/>
      <c r="S109" s="29" t="s">
        <v>61</v>
      </c>
      <c r="T109" s="29" t="s">
        <v>61</v>
      </c>
      <c r="U109" s="5"/>
      <c r="V109" s="5"/>
      <c r="W109" s="29" t="s">
        <v>61</v>
      </c>
      <c r="X109" s="19"/>
      <c r="Y109" s="49"/>
      <c r="Z109" s="5">
        <v>26.1</v>
      </c>
      <c r="AA109" s="5">
        <v>2.19</v>
      </c>
      <c r="AB109" s="5">
        <v>27.1</v>
      </c>
      <c r="AC109" s="5">
        <v>1.62</v>
      </c>
      <c r="AD109" s="34"/>
      <c r="AE109" s="33"/>
    </row>
    <row r="110" spans="1:34" x14ac:dyDescent="0.4">
      <c r="A110" s="3"/>
      <c r="B110" s="51"/>
      <c r="C110" s="2">
        <v>-7</v>
      </c>
      <c r="D110" s="2"/>
      <c r="E110" s="24"/>
      <c r="F110" s="24"/>
      <c r="G110" s="5">
        <v>25</v>
      </c>
      <c r="H110" s="5">
        <v>10.6</v>
      </c>
      <c r="I110" s="5"/>
      <c r="J110" s="5"/>
      <c r="K110" s="5">
        <v>2.358490566037736</v>
      </c>
      <c r="L110" s="36"/>
      <c r="M110" s="50">
        <v>70</v>
      </c>
      <c r="N110" s="34"/>
      <c r="O110" s="13">
        <v>-7</v>
      </c>
      <c r="P110" s="34"/>
      <c r="Q110" s="24"/>
      <c r="R110" s="5"/>
      <c r="S110" s="5">
        <v>25</v>
      </c>
      <c r="T110" s="5">
        <v>13.9</v>
      </c>
      <c r="U110" s="5"/>
      <c r="V110" s="5"/>
      <c r="W110" s="5">
        <v>1.7985611510791366</v>
      </c>
      <c r="X110" s="19"/>
      <c r="Y110" s="5">
        <f>AA110*(1.029-(0.05*Z110/G112))</f>
        <v>2.3831191999999994</v>
      </c>
      <c r="Z110" s="5">
        <v>22.12</v>
      </c>
      <c r="AA110" s="5">
        <v>2.42</v>
      </c>
      <c r="AB110" s="5">
        <v>24.4</v>
      </c>
      <c r="AC110" s="5">
        <v>2.09</v>
      </c>
      <c r="AD110" s="34"/>
      <c r="AE110" s="34"/>
      <c r="AF110" s="2"/>
      <c r="AG110" s="2"/>
    </row>
    <row r="111" spans="1:34" x14ac:dyDescent="0.4">
      <c r="A111" s="3"/>
      <c r="B111" s="51"/>
      <c r="C111" s="2">
        <v>2</v>
      </c>
      <c r="D111" s="2"/>
      <c r="E111" s="24"/>
      <c r="F111" s="24"/>
      <c r="G111" s="5">
        <v>25</v>
      </c>
      <c r="H111" s="5">
        <v>8.93</v>
      </c>
      <c r="I111" s="5"/>
      <c r="J111" s="5"/>
      <c r="K111" s="5">
        <v>2.7995520716685331</v>
      </c>
      <c r="L111" s="36"/>
      <c r="M111" s="50">
        <v>70</v>
      </c>
      <c r="N111" s="34"/>
      <c r="O111" s="13">
        <v>2</v>
      </c>
      <c r="P111" s="34"/>
      <c r="Q111" s="24"/>
      <c r="R111" s="5"/>
      <c r="S111" s="5">
        <v>25</v>
      </c>
      <c r="T111" s="5">
        <v>12.7</v>
      </c>
      <c r="U111" s="5"/>
      <c r="V111" s="5"/>
      <c r="W111" s="5">
        <v>1.9685039370078741</v>
      </c>
      <c r="X111" s="19"/>
      <c r="Y111" s="5">
        <f>AA111*(0.906-(0.044*Z111/G112))</f>
        <v>3.7406976000000003</v>
      </c>
      <c r="Z111" s="5">
        <v>13.5</v>
      </c>
      <c r="AA111" s="5">
        <v>4.24</v>
      </c>
      <c r="AB111" s="5">
        <v>13.9</v>
      </c>
      <c r="AC111" s="5">
        <v>3.55</v>
      </c>
      <c r="AD111" s="34"/>
      <c r="AE111" s="34"/>
      <c r="AF111" s="34"/>
      <c r="AG111" s="34"/>
      <c r="AH111" s="33"/>
    </row>
    <row r="112" spans="1:34" x14ac:dyDescent="0.4">
      <c r="A112" s="3"/>
      <c r="B112" s="51"/>
      <c r="C112" s="2">
        <v>7</v>
      </c>
      <c r="D112" s="2"/>
      <c r="E112" s="24"/>
      <c r="F112" s="24"/>
      <c r="G112" s="5">
        <v>25</v>
      </c>
      <c r="H112" s="5">
        <v>5.55</v>
      </c>
      <c r="I112" s="5"/>
      <c r="J112" s="5"/>
      <c r="K112" s="5">
        <v>4.5045045045045047</v>
      </c>
      <c r="L112" s="36"/>
      <c r="M112" s="50">
        <v>70</v>
      </c>
      <c r="N112" s="34"/>
      <c r="O112" s="13">
        <v>7</v>
      </c>
      <c r="P112" s="34"/>
      <c r="Q112" s="24"/>
      <c r="R112" s="5"/>
      <c r="S112" s="5">
        <v>25</v>
      </c>
      <c r="T112" s="5">
        <v>8.33</v>
      </c>
      <c r="U112" s="5"/>
      <c r="V112" s="5"/>
      <c r="W112" s="5">
        <v>3.0012004801920766</v>
      </c>
      <c r="X112" s="19"/>
      <c r="Y112" s="5">
        <f>K112</f>
        <v>4.5045045045045047</v>
      </c>
      <c r="Z112" s="5">
        <v>8.6999999999999993</v>
      </c>
      <c r="AA112" s="5">
        <v>5.88</v>
      </c>
      <c r="AB112" s="5">
        <v>9.8000000000000007</v>
      </c>
      <c r="AC112" s="5">
        <v>4.78</v>
      </c>
      <c r="AD112" s="34"/>
      <c r="AE112" s="34"/>
      <c r="AF112" s="34"/>
      <c r="AG112" s="34"/>
      <c r="AH112" s="33"/>
    </row>
    <row r="113" spans="1:34" x14ac:dyDescent="0.4">
      <c r="A113"/>
      <c r="B113" s="51"/>
      <c r="C113" s="2">
        <v>12</v>
      </c>
      <c r="D113" s="2"/>
      <c r="E113" s="24"/>
      <c r="F113" s="24"/>
      <c r="G113" s="29"/>
      <c r="H113" s="29"/>
      <c r="I113" s="5"/>
      <c r="J113" s="5"/>
      <c r="K113" s="29"/>
      <c r="L113" s="36"/>
      <c r="M113" s="50">
        <v>70</v>
      </c>
      <c r="N113" s="34"/>
      <c r="O113" s="13">
        <v>12</v>
      </c>
      <c r="P113" s="34"/>
      <c r="Q113" s="24"/>
      <c r="R113" s="5"/>
      <c r="S113" s="29" t="s">
        <v>61</v>
      </c>
      <c r="T113" s="29" t="s">
        <v>61</v>
      </c>
      <c r="U113" s="5"/>
      <c r="V113" s="5"/>
      <c r="W113" s="29" t="s">
        <v>61</v>
      </c>
      <c r="X113" s="19"/>
      <c r="Y113" s="36"/>
      <c r="Z113" s="5">
        <v>8.8000000000000007</v>
      </c>
      <c r="AA113" s="5">
        <v>6.08</v>
      </c>
      <c r="AB113" s="5">
        <v>9.8000000000000007</v>
      </c>
      <c r="AC113" s="5">
        <v>5.74</v>
      </c>
      <c r="AD113" s="34"/>
      <c r="AE113" s="34"/>
      <c r="AF113" s="34"/>
      <c r="AG113" s="34"/>
      <c r="AH113" s="33"/>
    </row>
    <row r="114" spans="1:34" x14ac:dyDescent="0.4">
      <c r="A114" s="8"/>
      <c r="B114" s="52"/>
      <c r="C114" s="9"/>
      <c r="D114" s="9"/>
      <c r="E114" s="30"/>
      <c r="F114" s="30"/>
      <c r="G114" s="22"/>
      <c r="H114" s="22"/>
      <c r="I114" s="22"/>
      <c r="J114" s="22"/>
      <c r="K114" s="22"/>
      <c r="L114" s="30"/>
      <c r="M114" s="18"/>
      <c r="N114" s="30"/>
      <c r="O114" s="14"/>
      <c r="P114" s="30"/>
      <c r="Q114" s="30"/>
      <c r="R114" s="22"/>
      <c r="S114" s="22"/>
      <c r="T114" s="22"/>
      <c r="U114" s="22"/>
      <c r="V114" s="22"/>
      <c r="W114" s="22"/>
      <c r="X114" s="18"/>
      <c r="Y114" s="31"/>
      <c r="Z114" s="31"/>
      <c r="AA114" s="31"/>
      <c r="AB114" s="31"/>
      <c r="AC114" s="31"/>
      <c r="AD114" s="30"/>
      <c r="AE114" s="30"/>
      <c r="AF114" s="30"/>
      <c r="AG114" s="30"/>
      <c r="AH114" s="30"/>
    </row>
    <row r="115" spans="1:34" x14ac:dyDescent="0.4">
      <c r="A115" s="3"/>
      <c r="B115" s="51" t="s">
        <v>107</v>
      </c>
      <c r="C115" s="4">
        <v>-28</v>
      </c>
      <c r="D115" s="2"/>
      <c r="E115" s="24"/>
      <c r="F115" s="24"/>
      <c r="G115" s="5"/>
      <c r="H115" s="5"/>
      <c r="I115" s="5"/>
      <c r="J115" s="5"/>
      <c r="K115" s="5"/>
      <c r="L115" s="36"/>
      <c r="M115" s="50">
        <v>55</v>
      </c>
      <c r="N115" s="34"/>
      <c r="O115" s="48">
        <v>-28</v>
      </c>
      <c r="P115" s="34"/>
      <c r="Q115" s="24"/>
      <c r="R115" s="5"/>
      <c r="S115" s="5"/>
      <c r="T115" s="5"/>
      <c r="U115" s="5"/>
      <c r="V115" s="5"/>
      <c r="W115" s="5"/>
      <c r="X115" s="4">
        <v>0</v>
      </c>
      <c r="Y115" s="36"/>
      <c r="Z115" s="24"/>
      <c r="AA115" s="24"/>
      <c r="AB115" s="24"/>
      <c r="AC115" s="24"/>
      <c r="AD115" s="34"/>
      <c r="AE115" s="13" t="s">
        <v>37</v>
      </c>
      <c r="AF115" s="5">
        <v>30</v>
      </c>
      <c r="AG115" s="5">
        <v>14.85</v>
      </c>
      <c r="AH115" s="7">
        <f>AF115/AG115</f>
        <v>2.0202020202020203</v>
      </c>
    </row>
    <row r="116" spans="1:34" x14ac:dyDescent="0.4">
      <c r="A116" s="46"/>
      <c r="B116" s="51"/>
      <c r="C116" s="13">
        <v>-25</v>
      </c>
      <c r="D116" s="2"/>
      <c r="E116" s="24"/>
      <c r="F116" s="24"/>
      <c r="G116" s="5"/>
      <c r="H116" s="5"/>
      <c r="I116" s="5"/>
      <c r="J116" s="5"/>
      <c r="K116" s="5"/>
      <c r="L116" s="36"/>
      <c r="M116" s="50">
        <v>55</v>
      </c>
      <c r="N116" s="34"/>
      <c r="O116" s="13">
        <v>-25</v>
      </c>
      <c r="P116" s="34"/>
      <c r="Q116" s="24"/>
      <c r="R116" s="5"/>
      <c r="S116" s="5"/>
      <c r="T116" s="5"/>
      <c r="U116" s="5"/>
      <c r="V116" s="5"/>
      <c r="W116" s="5"/>
      <c r="X116" s="19"/>
      <c r="Y116" s="36"/>
      <c r="Z116" s="24"/>
      <c r="AA116" s="24"/>
      <c r="AB116" s="24"/>
      <c r="AC116" s="24"/>
      <c r="AD116" s="34"/>
      <c r="AE116" s="13"/>
      <c r="AF116" s="7"/>
      <c r="AG116" s="7"/>
      <c r="AH116" s="7"/>
    </row>
    <row r="117" spans="1:34" x14ac:dyDescent="0.4">
      <c r="A117" s="3"/>
      <c r="B117" s="51"/>
      <c r="C117" s="13">
        <v>-20</v>
      </c>
      <c r="D117" s="2"/>
      <c r="E117" s="24"/>
      <c r="F117" s="24"/>
      <c r="G117" s="5">
        <v>25</v>
      </c>
      <c r="H117" s="5">
        <v>12.9</v>
      </c>
      <c r="I117" s="5"/>
      <c r="J117" s="5"/>
      <c r="K117" s="5">
        <v>1.9379844961240309</v>
      </c>
      <c r="L117" s="36"/>
      <c r="M117" s="50">
        <v>55</v>
      </c>
      <c r="N117" s="34"/>
      <c r="O117" s="13">
        <v>-20</v>
      </c>
      <c r="P117" s="34"/>
      <c r="Q117" s="24"/>
      <c r="R117" s="5"/>
      <c r="S117" s="5">
        <v>25</v>
      </c>
      <c r="T117" s="5">
        <v>17.5</v>
      </c>
      <c r="U117" s="5"/>
      <c r="V117" s="5"/>
      <c r="W117" s="5">
        <v>1.4285714285714286</v>
      </c>
      <c r="X117" s="34"/>
      <c r="Y117" s="36"/>
      <c r="Z117" s="24"/>
      <c r="AA117" s="24"/>
      <c r="AB117" s="24"/>
      <c r="AC117" s="24"/>
      <c r="AD117" s="34"/>
      <c r="AE117" s="13" t="s">
        <v>38</v>
      </c>
      <c r="AF117" s="7"/>
      <c r="AG117" s="7"/>
      <c r="AH117" s="7"/>
    </row>
    <row r="118" spans="1:34" x14ac:dyDescent="0.4">
      <c r="A118" s="3"/>
      <c r="B118" s="51"/>
      <c r="C118" s="2">
        <v>-15</v>
      </c>
      <c r="D118" s="2"/>
      <c r="E118" s="24"/>
      <c r="F118" s="24"/>
      <c r="G118" s="5">
        <v>30</v>
      </c>
      <c r="H118" s="5">
        <v>15.5</v>
      </c>
      <c r="I118" s="5"/>
      <c r="J118" s="5"/>
      <c r="K118" s="5">
        <v>1.935483870967742</v>
      </c>
      <c r="L118" s="36"/>
      <c r="M118" s="50">
        <v>65</v>
      </c>
      <c r="N118" s="34"/>
      <c r="O118" s="13">
        <v>-15</v>
      </c>
      <c r="P118" s="34"/>
      <c r="Q118" s="24"/>
      <c r="R118" s="5"/>
      <c r="S118" s="5">
        <v>30</v>
      </c>
      <c r="T118" s="5">
        <v>20.9</v>
      </c>
      <c r="U118" s="5"/>
      <c r="V118" s="5"/>
      <c r="W118" s="5">
        <v>1.4354066985645935</v>
      </c>
      <c r="X118" s="34"/>
      <c r="Y118" s="36"/>
      <c r="Z118" s="24"/>
      <c r="AA118" s="24"/>
      <c r="AB118" s="24"/>
      <c r="AC118" s="24"/>
      <c r="AD118" s="34"/>
      <c r="AE118" s="13" t="s">
        <v>40</v>
      </c>
      <c r="AF118" s="5">
        <v>30</v>
      </c>
      <c r="AG118" s="5">
        <v>9.06</v>
      </c>
      <c r="AH118" s="5">
        <f>AF118/AG118</f>
        <v>3.3112582781456954</v>
      </c>
    </row>
    <row r="119" spans="1:34" x14ac:dyDescent="0.4">
      <c r="A119" s="3"/>
      <c r="C119" s="2">
        <v>-10</v>
      </c>
      <c r="D119" s="2"/>
      <c r="E119" s="24"/>
      <c r="F119" s="24"/>
      <c r="G119" s="29" t="s">
        <v>61</v>
      </c>
      <c r="H119" s="29" t="s">
        <v>61</v>
      </c>
      <c r="I119" s="5"/>
      <c r="J119" s="5"/>
      <c r="K119" s="29" t="s">
        <v>61</v>
      </c>
      <c r="L119" s="36"/>
      <c r="M119" s="50">
        <v>65</v>
      </c>
      <c r="N119" s="34"/>
      <c r="O119" s="13">
        <v>-10</v>
      </c>
      <c r="P119" s="34"/>
      <c r="Q119" s="24"/>
      <c r="R119" s="5"/>
      <c r="S119" s="29" t="s">
        <v>61</v>
      </c>
      <c r="T119" s="29" t="s">
        <v>61</v>
      </c>
      <c r="U119" s="5"/>
      <c r="V119" s="5"/>
      <c r="W119" s="29" t="s">
        <v>61</v>
      </c>
      <c r="X119" s="34"/>
      <c r="Y119" s="49"/>
      <c r="Z119" s="5">
        <v>26.5</v>
      </c>
      <c r="AA119" s="5">
        <v>2.2200000000000002</v>
      </c>
      <c r="AB119" s="5">
        <v>30</v>
      </c>
      <c r="AC119" s="5">
        <v>1.68</v>
      </c>
      <c r="AD119" s="34"/>
      <c r="AE119" s="33"/>
      <c r="AF119" s="33"/>
      <c r="AG119" s="33"/>
      <c r="AH119" s="33"/>
    </row>
    <row r="120" spans="1:34" x14ac:dyDescent="0.4">
      <c r="A120" s="3"/>
      <c r="C120" s="2">
        <v>-7</v>
      </c>
      <c r="D120" s="2"/>
      <c r="E120" s="24"/>
      <c r="F120" s="24"/>
      <c r="G120" s="5">
        <v>30</v>
      </c>
      <c r="H120" s="5">
        <v>12.9</v>
      </c>
      <c r="I120" s="5"/>
      <c r="J120" s="5"/>
      <c r="K120" s="5">
        <v>2.3255813953488373</v>
      </c>
      <c r="L120" s="36"/>
      <c r="M120" s="50">
        <v>70</v>
      </c>
      <c r="N120" s="34"/>
      <c r="O120" s="13">
        <v>-7</v>
      </c>
      <c r="P120" s="34"/>
      <c r="Q120" s="24"/>
      <c r="R120" s="5"/>
      <c r="S120" s="5">
        <v>30</v>
      </c>
      <c r="T120" s="5">
        <v>20.100000000000001</v>
      </c>
      <c r="U120" s="5"/>
      <c r="V120" s="5"/>
      <c r="W120" s="5">
        <v>1.4925373134328357</v>
      </c>
      <c r="X120" s="34"/>
      <c r="Y120" s="5">
        <f>AA120*(1.029-(0.05*Z120/G122))</f>
        <v>2.2848133333333331</v>
      </c>
      <c r="Z120" s="5">
        <v>26.5</v>
      </c>
      <c r="AA120" s="5">
        <v>2.3199999999999998</v>
      </c>
      <c r="AB120" s="5">
        <v>26.54</v>
      </c>
      <c r="AC120" s="5">
        <v>1.83</v>
      </c>
      <c r="AD120" s="34"/>
      <c r="AE120" s="34"/>
      <c r="AF120" s="34"/>
      <c r="AG120" s="34"/>
      <c r="AH120" s="33"/>
    </row>
    <row r="121" spans="1:34" x14ac:dyDescent="0.4">
      <c r="A121" s="3"/>
      <c r="C121" s="2">
        <v>2</v>
      </c>
      <c r="D121" s="2"/>
      <c r="E121" s="24"/>
      <c r="F121" s="24"/>
      <c r="G121" s="5">
        <v>30</v>
      </c>
      <c r="H121" s="5">
        <v>12</v>
      </c>
      <c r="I121" s="5"/>
      <c r="J121" s="5"/>
      <c r="K121" s="5">
        <v>2.5</v>
      </c>
      <c r="L121" s="36"/>
      <c r="M121" s="50">
        <v>70</v>
      </c>
      <c r="N121" s="34"/>
      <c r="O121" s="13">
        <v>2</v>
      </c>
      <c r="P121" s="34"/>
      <c r="Q121" s="24"/>
      <c r="R121" s="5"/>
      <c r="S121" s="5">
        <v>30</v>
      </c>
      <c r="T121" s="5">
        <v>15.4</v>
      </c>
      <c r="U121" s="5"/>
      <c r="V121" s="5"/>
      <c r="W121" s="5">
        <v>1.948051948051948</v>
      </c>
      <c r="X121" s="34"/>
      <c r="Y121" s="5">
        <f>AA121*(0.906-(0.044*Z121/G122))</f>
        <v>3.2289984</v>
      </c>
      <c r="Z121" s="5">
        <v>16.2</v>
      </c>
      <c r="AA121" s="5">
        <v>3.66</v>
      </c>
      <c r="AB121" s="5">
        <v>16.2</v>
      </c>
      <c r="AC121" s="5">
        <v>3.4</v>
      </c>
      <c r="AD121" s="34"/>
      <c r="AE121" s="34"/>
      <c r="AF121" s="34"/>
      <c r="AG121" s="34"/>
      <c r="AH121" s="33"/>
    </row>
    <row r="122" spans="1:34" x14ac:dyDescent="0.4">
      <c r="A122" s="3"/>
      <c r="C122" s="2">
        <v>7</v>
      </c>
      <c r="D122" s="2"/>
      <c r="E122" s="24"/>
      <c r="F122" s="24"/>
      <c r="G122" s="5">
        <v>30</v>
      </c>
      <c r="H122" s="5">
        <v>6.92</v>
      </c>
      <c r="I122" s="5"/>
      <c r="J122" s="5"/>
      <c r="K122" s="5">
        <v>4.3352601156069364</v>
      </c>
      <c r="L122" s="36"/>
      <c r="M122" s="50">
        <v>70</v>
      </c>
      <c r="N122" s="34"/>
      <c r="O122" s="13">
        <v>7</v>
      </c>
      <c r="P122" s="34"/>
      <c r="Q122" s="24"/>
      <c r="R122" s="5"/>
      <c r="S122" s="5">
        <v>30</v>
      </c>
      <c r="T122" s="5">
        <v>10</v>
      </c>
      <c r="U122" s="5"/>
      <c r="V122" s="5"/>
      <c r="W122" s="5">
        <v>3</v>
      </c>
      <c r="X122" s="34"/>
      <c r="Y122" s="5">
        <f>K122</f>
        <v>4.3352601156069364</v>
      </c>
      <c r="Z122" s="5">
        <v>10.4</v>
      </c>
      <c r="AA122" s="5">
        <v>6.14</v>
      </c>
      <c r="AB122" s="5">
        <v>10.4</v>
      </c>
      <c r="AC122" s="5">
        <v>4.99</v>
      </c>
      <c r="AD122" s="34"/>
      <c r="AE122" s="34"/>
      <c r="AF122" s="34"/>
      <c r="AG122" s="34"/>
      <c r="AH122" s="33"/>
    </row>
    <row r="123" spans="1:34" x14ac:dyDescent="0.4">
      <c r="A123"/>
      <c r="C123" s="2">
        <v>12</v>
      </c>
      <c r="D123" s="2"/>
      <c r="E123" s="24"/>
      <c r="F123" s="24"/>
      <c r="G123" s="29"/>
      <c r="H123" s="29"/>
      <c r="I123" s="5"/>
      <c r="J123" s="5"/>
      <c r="K123" s="29"/>
      <c r="L123" s="36"/>
      <c r="M123" s="50">
        <v>70</v>
      </c>
      <c r="N123" s="34"/>
      <c r="O123" s="13">
        <v>12</v>
      </c>
      <c r="P123" s="34"/>
      <c r="Q123" s="24"/>
      <c r="R123" s="5"/>
      <c r="S123" s="29" t="s">
        <v>61</v>
      </c>
      <c r="T123" s="29" t="s">
        <v>61</v>
      </c>
      <c r="U123" s="5"/>
      <c r="V123" s="5"/>
      <c r="W123" s="29" t="s">
        <v>61</v>
      </c>
      <c r="X123" s="34"/>
      <c r="Y123" s="36"/>
      <c r="Z123" s="5">
        <v>8.8000000000000007</v>
      </c>
      <c r="AA123" s="5">
        <v>6.17</v>
      </c>
      <c r="AB123" s="5">
        <v>10.199999999999999</v>
      </c>
      <c r="AC123" s="5">
        <v>5.85</v>
      </c>
      <c r="AD123" s="34"/>
      <c r="AE123" s="34"/>
      <c r="AF123" s="34"/>
      <c r="AG123" s="34"/>
      <c r="AH123" s="33"/>
    </row>
    <row r="124" spans="1:34" x14ac:dyDescent="0.4">
      <c r="A124" s="8"/>
      <c r="B124" s="8"/>
      <c r="C124" s="9"/>
      <c r="D124" s="9"/>
      <c r="E124" s="18"/>
      <c r="F124" s="18"/>
      <c r="G124" s="22"/>
      <c r="H124" s="22"/>
      <c r="I124" s="22"/>
      <c r="J124" s="22"/>
      <c r="K124" s="22"/>
      <c r="L124" s="18"/>
      <c r="M124" s="18"/>
      <c r="N124" s="14"/>
      <c r="O124" s="14"/>
      <c r="P124" s="14"/>
      <c r="Q124" s="18"/>
      <c r="R124" s="22"/>
      <c r="S124" s="22"/>
      <c r="T124" s="22"/>
      <c r="U124" s="22"/>
      <c r="V124" s="22"/>
      <c r="W124" s="22"/>
      <c r="X124" s="18"/>
      <c r="Y124" s="22"/>
      <c r="Z124" s="22"/>
      <c r="AA124" s="22"/>
      <c r="AB124" s="22"/>
      <c r="AC124" s="22"/>
      <c r="AD124" s="18"/>
      <c r="AE124" s="14"/>
      <c r="AF124" s="18"/>
      <c r="AG124" s="18"/>
      <c r="AH124" s="18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78FA-2665-47DD-B7FE-632CA69617B8}">
  <sheetPr>
    <tabColor theme="9"/>
  </sheetPr>
  <dimension ref="A1:AJ4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5" sqref="O5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6" x14ac:dyDescent="0.4">
      <c r="C1" s="1" t="s">
        <v>17</v>
      </c>
    </row>
    <row r="2" spans="1:36" x14ac:dyDescent="0.4">
      <c r="C2" s="1" t="s">
        <v>18</v>
      </c>
      <c r="O2" s="1" t="s">
        <v>19</v>
      </c>
      <c r="AF2" s="1"/>
    </row>
    <row r="3" spans="1:36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6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6" x14ac:dyDescent="0.4">
      <c r="A5" s="3" t="s">
        <v>111</v>
      </c>
      <c r="B5" s="1" t="s">
        <v>68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36"/>
      <c r="M5" s="6">
        <v>55</v>
      </c>
      <c r="N5" s="34"/>
      <c r="O5" s="4">
        <v>-28</v>
      </c>
      <c r="P5" s="34"/>
      <c r="Q5" s="5"/>
      <c r="R5" s="5"/>
      <c r="S5" s="5"/>
      <c r="T5" s="5"/>
      <c r="U5" s="5"/>
      <c r="V5" s="5"/>
      <c r="W5" s="5"/>
      <c r="X5" s="4">
        <v>9</v>
      </c>
      <c r="Y5" s="36"/>
      <c r="Z5" s="24"/>
      <c r="AA5" s="24"/>
      <c r="AB5" s="24"/>
      <c r="AC5" s="24"/>
      <c r="AD5" s="34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  <c r="AI5" s="33"/>
      <c r="AJ5" s="33"/>
    </row>
    <row r="6" spans="1:36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36"/>
      <c r="M6" s="6">
        <v>55</v>
      </c>
      <c r="N6" s="34"/>
      <c r="O6" s="13">
        <v>-25</v>
      </c>
      <c r="P6" s="34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36"/>
      <c r="Z6" s="24"/>
      <c r="AA6" s="24"/>
      <c r="AB6" s="24"/>
      <c r="AC6" s="24"/>
      <c r="AD6" s="34"/>
      <c r="AE6" s="13"/>
      <c r="AF6" s="7"/>
      <c r="AG6" s="7"/>
      <c r="AH6" s="7"/>
      <c r="AI6" s="33"/>
      <c r="AJ6" s="33"/>
    </row>
    <row r="7" spans="1:36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36"/>
      <c r="M7" s="6">
        <v>65</v>
      </c>
      <c r="N7" s="34"/>
      <c r="O7" s="13">
        <v>-20</v>
      </c>
      <c r="P7" s="34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9"/>
      <c r="Y7" s="54"/>
      <c r="Z7" s="55"/>
      <c r="AA7" s="55"/>
      <c r="AB7" s="55"/>
      <c r="AC7" s="55"/>
      <c r="AD7" s="34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  <c r="AI7" s="33"/>
      <c r="AJ7" s="33"/>
    </row>
    <row r="8" spans="1:36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36"/>
      <c r="M8" s="6">
        <v>75</v>
      </c>
      <c r="N8" s="34"/>
      <c r="O8" s="13">
        <v>-15</v>
      </c>
      <c r="P8" s="34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9"/>
      <c r="Y8" s="54"/>
      <c r="Z8" s="55"/>
      <c r="AA8" s="55"/>
      <c r="AB8" s="5"/>
      <c r="AC8" s="5"/>
      <c r="AD8" s="34"/>
      <c r="AE8" s="13" t="s">
        <v>40</v>
      </c>
      <c r="AF8" s="7">
        <v>9</v>
      </c>
      <c r="AG8" s="7">
        <v>1.71</v>
      </c>
      <c r="AH8" s="7">
        <f>AF8/AG8</f>
        <v>5.2631578947368425</v>
      </c>
      <c r="AI8" s="33"/>
      <c r="AJ8" s="33"/>
    </row>
    <row r="9" spans="1:36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36"/>
      <c r="M9" s="6">
        <v>75</v>
      </c>
      <c r="N9" s="34"/>
      <c r="O9" s="13">
        <v>-10</v>
      </c>
      <c r="P9" s="34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9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34"/>
      <c r="AE9" s="15"/>
      <c r="AF9" s="33"/>
      <c r="AG9" s="33"/>
      <c r="AH9" s="33"/>
      <c r="AI9" s="33"/>
      <c r="AJ9" s="33"/>
    </row>
    <row r="10" spans="1:36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36"/>
      <c r="M10" s="6">
        <v>75</v>
      </c>
      <c r="N10" s="34"/>
      <c r="O10" s="13">
        <v>-7</v>
      </c>
      <c r="P10" s="34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9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34"/>
      <c r="AE10" s="13"/>
      <c r="AF10" s="34"/>
      <c r="AG10" s="34"/>
      <c r="AH10" s="33"/>
      <c r="AI10" s="33"/>
      <c r="AJ10" s="33"/>
    </row>
    <row r="11" spans="1:36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36"/>
      <c r="M11" s="6">
        <v>75</v>
      </c>
      <c r="N11" s="34"/>
      <c r="O11" s="13">
        <v>2</v>
      </c>
      <c r="P11" s="34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9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34"/>
      <c r="AE11" s="13"/>
      <c r="AF11" s="34"/>
      <c r="AG11" s="34"/>
      <c r="AH11" s="33"/>
      <c r="AI11" s="33"/>
      <c r="AJ11" s="33"/>
    </row>
    <row r="12" spans="1:36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36"/>
      <c r="M12" s="6">
        <v>75</v>
      </c>
      <c r="N12" s="34"/>
      <c r="O12" s="13">
        <v>7</v>
      </c>
      <c r="P12" s="34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9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34"/>
      <c r="AE12" s="13"/>
      <c r="AF12" s="34"/>
      <c r="AG12" s="34"/>
      <c r="AH12" s="33"/>
      <c r="AI12" s="33"/>
      <c r="AJ12" s="33"/>
    </row>
    <row r="13" spans="1:36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36"/>
      <c r="M13" s="6">
        <v>75</v>
      </c>
      <c r="N13" s="34"/>
      <c r="O13" s="13">
        <v>12</v>
      </c>
      <c r="P13" s="34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9"/>
      <c r="Y13" s="17"/>
      <c r="Z13" s="5">
        <v>5.7</v>
      </c>
      <c r="AA13" s="5">
        <v>7.8</v>
      </c>
      <c r="AB13" s="5">
        <v>5.6</v>
      </c>
      <c r="AC13" s="5">
        <v>5.78</v>
      </c>
      <c r="AD13" s="34"/>
      <c r="AE13" s="13"/>
      <c r="AF13" s="34"/>
      <c r="AG13" s="34"/>
      <c r="AH13" s="33"/>
      <c r="AI13" s="33"/>
      <c r="AJ13" s="33"/>
    </row>
    <row r="14" spans="1:36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18"/>
      <c r="N14" s="30"/>
      <c r="O14" s="14"/>
      <c r="P14" s="30"/>
      <c r="Q14" s="30"/>
      <c r="R14" s="31"/>
      <c r="S14" s="31"/>
      <c r="T14" s="31"/>
      <c r="U14" s="31"/>
      <c r="V14" s="31"/>
      <c r="W14" s="31"/>
      <c r="X14" s="18"/>
      <c r="Y14" s="22"/>
      <c r="Z14" s="56"/>
      <c r="AA14" s="56"/>
      <c r="AB14" s="56"/>
      <c r="AC14" s="56"/>
      <c r="AD14" s="30"/>
      <c r="AE14" s="14"/>
      <c r="AF14" s="30"/>
      <c r="AG14" s="30"/>
      <c r="AH14" s="30"/>
      <c r="AI14" s="33"/>
      <c r="AJ14" s="33"/>
    </row>
    <row r="15" spans="1:36" x14ac:dyDescent="0.4">
      <c r="A15" s="3" t="s">
        <v>111</v>
      </c>
      <c r="B15" s="1" t="s">
        <v>67</v>
      </c>
      <c r="C15" s="4">
        <v>-28</v>
      </c>
      <c r="D15" s="2"/>
      <c r="E15" s="24"/>
      <c r="F15" s="5"/>
      <c r="G15" s="5"/>
      <c r="H15" s="5"/>
      <c r="I15" s="5"/>
      <c r="J15" s="5"/>
      <c r="K15" s="5"/>
      <c r="L15" s="36"/>
      <c r="M15" s="6">
        <v>55</v>
      </c>
      <c r="N15" s="34"/>
      <c r="O15" s="48">
        <v>-28</v>
      </c>
      <c r="P15" s="34"/>
      <c r="Q15" s="24"/>
      <c r="R15" s="5"/>
      <c r="S15" s="5"/>
      <c r="T15" s="5"/>
      <c r="U15" s="5"/>
      <c r="V15" s="5"/>
      <c r="W15" s="5"/>
      <c r="X15" s="4">
        <v>9</v>
      </c>
      <c r="Y15" s="17"/>
      <c r="Z15" s="55"/>
      <c r="AA15" s="55"/>
      <c r="AB15" s="55"/>
      <c r="AC15" s="55"/>
      <c r="AD15" s="34"/>
      <c r="AE15" s="13" t="s">
        <v>37</v>
      </c>
      <c r="AF15" s="7">
        <v>12</v>
      </c>
      <c r="AG15" s="7">
        <v>4.21</v>
      </c>
      <c r="AH15" s="7">
        <f>AF15/AG15</f>
        <v>2.8503562945368173</v>
      </c>
      <c r="AI15" s="33"/>
      <c r="AJ15" s="33"/>
    </row>
    <row r="16" spans="1:36" x14ac:dyDescent="0.4">
      <c r="A16" s="3"/>
      <c r="C16" s="13">
        <v>-25</v>
      </c>
      <c r="D16" s="2"/>
      <c r="E16" s="24"/>
      <c r="F16" s="5"/>
      <c r="G16" s="5">
        <v>10.5</v>
      </c>
      <c r="H16" s="5">
        <v>5.55</v>
      </c>
      <c r="I16" s="5"/>
      <c r="J16" s="5"/>
      <c r="K16" s="5">
        <v>1.8918918918918919</v>
      </c>
      <c r="L16" s="36"/>
      <c r="M16" s="6">
        <v>55</v>
      </c>
      <c r="N16" s="34"/>
      <c r="O16" s="13">
        <v>-25</v>
      </c>
      <c r="P16" s="34"/>
      <c r="Q16" s="24"/>
      <c r="R16" s="5"/>
      <c r="S16" s="5">
        <v>9.6999999999999993</v>
      </c>
      <c r="T16" s="5">
        <v>7.4</v>
      </c>
      <c r="U16" s="5"/>
      <c r="V16" s="5"/>
      <c r="W16" s="5">
        <v>1.3108108108108107</v>
      </c>
      <c r="X16" s="19"/>
      <c r="Y16" s="17"/>
      <c r="Z16" s="55"/>
      <c r="AA16" s="55"/>
      <c r="AB16" s="55"/>
      <c r="AC16" s="55"/>
      <c r="AD16" s="34"/>
      <c r="AE16" s="13"/>
      <c r="AF16" s="7"/>
      <c r="AG16" s="7"/>
      <c r="AH16" s="7"/>
      <c r="AI16" s="33"/>
      <c r="AJ16" s="33"/>
    </row>
    <row r="17" spans="1:36" x14ac:dyDescent="0.4">
      <c r="A17" s="46"/>
      <c r="C17" s="13">
        <v>-20</v>
      </c>
      <c r="D17" s="2"/>
      <c r="E17" s="24"/>
      <c r="F17" s="5"/>
      <c r="G17" s="5">
        <v>11.2</v>
      </c>
      <c r="H17" s="5">
        <v>4.75</v>
      </c>
      <c r="I17" s="5"/>
      <c r="J17" s="5"/>
      <c r="K17" s="5">
        <v>2.357894736842105</v>
      </c>
      <c r="L17" s="36"/>
      <c r="M17" s="6">
        <v>65</v>
      </c>
      <c r="N17" s="34"/>
      <c r="O17" s="13">
        <v>-20</v>
      </c>
      <c r="P17" s="34"/>
      <c r="Q17" s="24"/>
      <c r="R17" s="5"/>
      <c r="S17" s="5">
        <v>10.8</v>
      </c>
      <c r="T17" s="5">
        <v>6.45</v>
      </c>
      <c r="U17" s="5"/>
      <c r="V17" s="5"/>
      <c r="W17" s="5">
        <v>1.6744186046511629</v>
      </c>
      <c r="X17" s="19"/>
      <c r="Y17" s="17"/>
      <c r="Z17" s="55"/>
      <c r="AA17" s="55"/>
      <c r="AB17" s="55"/>
      <c r="AC17" s="55"/>
      <c r="AD17" s="34"/>
      <c r="AE17" s="13" t="s">
        <v>38</v>
      </c>
      <c r="AF17" s="7">
        <v>13.2</v>
      </c>
      <c r="AG17" s="7">
        <v>3.25</v>
      </c>
      <c r="AH17" s="7">
        <f>AF17/AG17</f>
        <v>4.0615384615384613</v>
      </c>
      <c r="AI17" s="33"/>
      <c r="AJ17" s="33"/>
    </row>
    <row r="18" spans="1:36" x14ac:dyDescent="0.4">
      <c r="A18" s="3"/>
      <c r="C18" s="2">
        <v>-15</v>
      </c>
      <c r="D18" s="2"/>
      <c r="E18" s="24"/>
      <c r="F18" s="5"/>
      <c r="G18" s="5">
        <v>12</v>
      </c>
      <c r="H18" s="5">
        <v>4.5599999999999996</v>
      </c>
      <c r="I18" s="5"/>
      <c r="J18" s="5"/>
      <c r="K18" s="5">
        <v>2.6315789473684212</v>
      </c>
      <c r="L18" s="36"/>
      <c r="M18" s="6">
        <v>75</v>
      </c>
      <c r="N18" s="34"/>
      <c r="O18" s="13">
        <v>-15</v>
      </c>
      <c r="P18" s="34"/>
      <c r="Q18" s="24"/>
      <c r="R18" s="5"/>
      <c r="S18" s="5">
        <v>12</v>
      </c>
      <c r="T18" s="5">
        <v>6</v>
      </c>
      <c r="U18" s="5"/>
      <c r="V18" s="5"/>
      <c r="W18" s="5">
        <v>2</v>
      </c>
      <c r="X18" s="19"/>
      <c r="Y18" s="17"/>
      <c r="Z18" s="55"/>
      <c r="AA18" s="55"/>
      <c r="AB18" s="55"/>
      <c r="AC18" s="55"/>
      <c r="AD18" s="34"/>
      <c r="AE18" s="13" t="s">
        <v>40</v>
      </c>
      <c r="AF18" s="7">
        <v>12</v>
      </c>
      <c r="AG18" s="7">
        <v>2.8</v>
      </c>
      <c r="AH18" s="7">
        <f>AF18/AG18</f>
        <v>4.2857142857142856</v>
      </c>
      <c r="AI18" s="33"/>
      <c r="AJ18" s="33"/>
    </row>
    <row r="19" spans="1:36" x14ac:dyDescent="0.4">
      <c r="A19" s="3"/>
      <c r="C19" s="2">
        <v>-10</v>
      </c>
      <c r="D19" s="2"/>
      <c r="E19" s="24"/>
      <c r="F19" s="5"/>
      <c r="G19" s="29" t="s">
        <v>61</v>
      </c>
      <c r="H19" s="29" t="s">
        <v>61</v>
      </c>
      <c r="I19" s="5"/>
      <c r="J19" s="5"/>
      <c r="K19" s="29" t="s">
        <v>61</v>
      </c>
      <c r="L19" s="36"/>
      <c r="M19" s="6">
        <v>75</v>
      </c>
      <c r="N19" s="34"/>
      <c r="O19" s="13">
        <v>-10</v>
      </c>
      <c r="P19" s="34"/>
      <c r="Q19" s="24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9"/>
      <c r="Y19" s="17" t="s">
        <v>39</v>
      </c>
      <c r="Z19" s="5">
        <v>12</v>
      </c>
      <c r="AA19" s="5">
        <v>2.91</v>
      </c>
      <c r="AB19" s="5">
        <v>12</v>
      </c>
      <c r="AC19" s="5">
        <v>2.12</v>
      </c>
      <c r="AD19" s="34"/>
      <c r="AE19" s="15"/>
      <c r="AF19" s="33"/>
      <c r="AG19" s="33"/>
      <c r="AH19" s="33"/>
      <c r="AI19" s="33"/>
      <c r="AJ19" s="33"/>
    </row>
    <row r="20" spans="1:36" x14ac:dyDescent="0.4">
      <c r="A20" s="3"/>
      <c r="C20" s="2">
        <v>-7</v>
      </c>
      <c r="D20" s="2"/>
      <c r="E20" s="24"/>
      <c r="F20" s="5"/>
      <c r="G20" s="5">
        <v>12</v>
      </c>
      <c r="H20" s="5">
        <v>4</v>
      </c>
      <c r="I20" s="5"/>
      <c r="J20" s="5"/>
      <c r="K20" s="5">
        <v>3</v>
      </c>
      <c r="L20" s="36"/>
      <c r="M20" s="6">
        <v>75</v>
      </c>
      <c r="N20" s="34"/>
      <c r="O20" s="13">
        <v>-7</v>
      </c>
      <c r="P20" s="34"/>
      <c r="Q20" s="24"/>
      <c r="R20" s="5"/>
      <c r="S20" s="5">
        <v>12</v>
      </c>
      <c r="T20" s="5">
        <v>5.53</v>
      </c>
      <c r="U20" s="5"/>
      <c r="V20" s="5"/>
      <c r="W20" s="5">
        <v>2.1699819168173597</v>
      </c>
      <c r="X20" s="19"/>
      <c r="Y20" s="5">
        <f>AA20*(1.029-(0.05*Z20/G22))</f>
        <v>2.7476849999999997</v>
      </c>
      <c r="Z20" s="5">
        <v>10.6</v>
      </c>
      <c r="AA20" s="5">
        <v>2.79</v>
      </c>
      <c r="AB20" s="5">
        <v>10.6</v>
      </c>
      <c r="AC20" s="5">
        <v>2.2200000000000002</v>
      </c>
      <c r="AD20" s="34"/>
      <c r="AE20" s="13"/>
      <c r="AF20" s="34"/>
      <c r="AG20" s="34"/>
      <c r="AH20" s="33"/>
      <c r="AI20" s="33"/>
      <c r="AJ20" s="33"/>
    </row>
    <row r="21" spans="1:36" x14ac:dyDescent="0.4">
      <c r="A21" s="3"/>
      <c r="C21" s="2">
        <v>2</v>
      </c>
      <c r="D21" s="2"/>
      <c r="E21" s="24"/>
      <c r="F21" s="5"/>
      <c r="G21" s="5">
        <v>12</v>
      </c>
      <c r="H21" s="5">
        <v>3.39</v>
      </c>
      <c r="I21" s="5"/>
      <c r="J21" s="5"/>
      <c r="K21" s="5">
        <v>3.5398230088495577</v>
      </c>
      <c r="L21" s="36"/>
      <c r="M21" s="6">
        <v>75</v>
      </c>
      <c r="N21" s="34"/>
      <c r="O21" s="13">
        <v>2</v>
      </c>
      <c r="P21" s="34"/>
      <c r="Q21" s="24"/>
      <c r="R21" s="5"/>
      <c r="S21" s="5">
        <v>12</v>
      </c>
      <c r="T21" s="5">
        <v>4.95</v>
      </c>
      <c r="U21" s="5"/>
      <c r="V21" s="5"/>
      <c r="W21" s="5">
        <v>2.4242424242424243</v>
      </c>
      <c r="X21" s="19"/>
      <c r="Y21" s="5">
        <f>AA21*(0.906-(0.044*Z21/G22))</f>
        <v>4.1020750000000001</v>
      </c>
      <c r="Z21" s="5">
        <v>6.5</v>
      </c>
      <c r="AA21" s="5">
        <v>4.6500000000000004</v>
      </c>
      <c r="AB21" s="5">
        <v>6.5</v>
      </c>
      <c r="AC21" s="5">
        <v>3.65</v>
      </c>
      <c r="AD21" s="34"/>
      <c r="AE21" s="13"/>
      <c r="AF21" s="34"/>
      <c r="AG21" s="34"/>
      <c r="AH21" s="33"/>
      <c r="AI21" s="33"/>
      <c r="AJ21" s="33"/>
    </row>
    <row r="22" spans="1:36" x14ac:dyDescent="0.4">
      <c r="A22" s="3"/>
      <c r="C22" s="2">
        <v>7</v>
      </c>
      <c r="D22" s="2"/>
      <c r="E22" s="24"/>
      <c r="F22" s="5"/>
      <c r="G22" s="5">
        <v>12</v>
      </c>
      <c r="H22" s="5">
        <v>2.37</v>
      </c>
      <c r="I22" s="5"/>
      <c r="J22" s="5"/>
      <c r="K22" s="5">
        <v>5.0632911392405067</v>
      </c>
      <c r="L22" s="36"/>
      <c r="M22" s="6">
        <v>75</v>
      </c>
      <c r="N22" s="34"/>
      <c r="O22" s="13">
        <v>7</v>
      </c>
      <c r="P22" s="34"/>
      <c r="Q22" s="24"/>
      <c r="R22" s="5"/>
      <c r="S22" s="5">
        <v>12</v>
      </c>
      <c r="T22" s="5">
        <v>3.71</v>
      </c>
      <c r="U22" s="5"/>
      <c r="V22" s="5"/>
      <c r="W22" s="5">
        <v>3.2345013477088949</v>
      </c>
      <c r="X22" s="19"/>
      <c r="Y22" s="5">
        <f>K22</f>
        <v>5.0632911392405067</v>
      </c>
      <c r="Z22" s="5">
        <v>5.3</v>
      </c>
      <c r="AA22" s="5">
        <v>6.25</v>
      </c>
      <c r="AB22" s="5">
        <v>4.9000000000000004</v>
      </c>
      <c r="AC22" s="5">
        <v>4.57</v>
      </c>
      <c r="AD22" s="34"/>
      <c r="AE22" s="13"/>
      <c r="AF22" s="34"/>
      <c r="AG22" s="34"/>
      <c r="AH22" s="33"/>
      <c r="AI22" s="33"/>
      <c r="AJ22" s="33"/>
    </row>
    <row r="23" spans="1:36" x14ac:dyDescent="0.4">
      <c r="A23" s="3"/>
      <c r="C23" s="2">
        <v>12</v>
      </c>
      <c r="D23" s="2"/>
      <c r="E23" s="24"/>
      <c r="F23" s="5"/>
      <c r="G23" s="29" t="s">
        <v>61</v>
      </c>
      <c r="H23" s="29" t="s">
        <v>61</v>
      </c>
      <c r="I23" s="5"/>
      <c r="J23" s="5"/>
      <c r="K23" s="29" t="s">
        <v>61</v>
      </c>
      <c r="L23" s="36"/>
      <c r="M23" s="6">
        <v>75</v>
      </c>
      <c r="N23" s="34"/>
      <c r="O23" s="13">
        <v>12</v>
      </c>
      <c r="P23" s="34"/>
      <c r="Q23" s="24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9"/>
      <c r="Y23" s="17"/>
      <c r="Z23" s="5">
        <v>6.1</v>
      </c>
      <c r="AA23" s="5">
        <v>7.78</v>
      </c>
      <c r="AB23" s="5">
        <v>5.7</v>
      </c>
      <c r="AC23" s="5">
        <v>5.84</v>
      </c>
      <c r="AD23" s="34"/>
      <c r="AE23" s="13"/>
      <c r="AF23" s="34"/>
      <c r="AG23" s="34"/>
      <c r="AH23" s="33"/>
      <c r="AI23" s="33"/>
      <c r="AJ23" s="33"/>
    </row>
    <row r="24" spans="1:36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18"/>
      <c r="N24" s="30"/>
      <c r="O24" s="14"/>
      <c r="P24" s="30"/>
      <c r="Q24" s="30"/>
      <c r="R24" s="31"/>
      <c r="S24" s="31"/>
      <c r="T24" s="31"/>
      <c r="U24" s="31"/>
      <c r="V24" s="31"/>
      <c r="W24" s="31"/>
      <c r="X24" s="18"/>
      <c r="Y24" s="22"/>
      <c r="Z24" s="56"/>
      <c r="AA24" s="56"/>
      <c r="AB24" s="56"/>
      <c r="AC24" s="56"/>
      <c r="AD24" s="30"/>
      <c r="AE24" s="14"/>
      <c r="AF24" s="30"/>
      <c r="AG24" s="30"/>
      <c r="AH24" s="30"/>
      <c r="AI24" s="33"/>
      <c r="AJ24" s="33"/>
    </row>
    <row r="25" spans="1:36" x14ac:dyDescent="0.4">
      <c r="A25" s="3" t="s">
        <v>111</v>
      </c>
      <c r="B25" s="1" t="s">
        <v>66</v>
      </c>
      <c r="C25" s="4">
        <v>-28</v>
      </c>
      <c r="D25" s="2"/>
      <c r="E25" s="24"/>
      <c r="F25" s="5"/>
      <c r="G25" s="5"/>
      <c r="H25" s="5"/>
      <c r="I25" s="5"/>
      <c r="J25" s="5"/>
      <c r="K25" s="5"/>
      <c r="L25" s="36"/>
      <c r="M25" s="6">
        <v>55</v>
      </c>
      <c r="N25" s="34"/>
      <c r="O25" s="48">
        <v>-28</v>
      </c>
      <c r="P25" s="34"/>
      <c r="Q25" s="24"/>
      <c r="R25" s="5"/>
      <c r="S25" s="5">
        <v>14</v>
      </c>
      <c r="T25" s="5">
        <v>10.53</v>
      </c>
      <c r="U25" s="5"/>
      <c r="V25" s="5"/>
      <c r="W25" s="5">
        <v>1.3295346628679963</v>
      </c>
      <c r="X25" s="4">
        <v>9</v>
      </c>
      <c r="Y25" s="17"/>
      <c r="Z25" s="55"/>
      <c r="AA25" s="55"/>
      <c r="AB25" s="55"/>
      <c r="AC25" s="55"/>
      <c r="AD25" s="34"/>
      <c r="AE25" s="13" t="s">
        <v>37</v>
      </c>
      <c r="AF25" s="7">
        <v>14.5</v>
      </c>
      <c r="AG25" s="7">
        <v>5.05</v>
      </c>
      <c r="AH25" s="7">
        <f>AF25/AG25</f>
        <v>2.8712871287128712</v>
      </c>
      <c r="AI25" s="33"/>
      <c r="AJ25" s="33"/>
    </row>
    <row r="26" spans="1:36" x14ac:dyDescent="0.4">
      <c r="A26" s="3"/>
      <c r="C26" s="13">
        <v>-25</v>
      </c>
      <c r="D26" s="2"/>
      <c r="E26" s="24"/>
      <c r="F26" s="5"/>
      <c r="G26" s="5">
        <v>14.2</v>
      </c>
      <c r="H26" s="5">
        <v>7.8</v>
      </c>
      <c r="I26" s="5"/>
      <c r="J26" s="5"/>
      <c r="K26" s="5">
        <v>1.8205128205128205</v>
      </c>
      <c r="L26" s="36"/>
      <c r="M26" s="6">
        <v>55</v>
      </c>
      <c r="N26" s="34"/>
      <c r="O26" s="13">
        <v>-25</v>
      </c>
      <c r="P26" s="34"/>
      <c r="Q26" s="24"/>
      <c r="R26" s="5"/>
      <c r="S26" s="5"/>
      <c r="T26" s="5"/>
      <c r="U26" s="5"/>
      <c r="V26" s="5"/>
      <c r="W26" s="5"/>
      <c r="X26" s="19"/>
      <c r="Y26" s="17"/>
      <c r="Z26" s="55"/>
      <c r="AA26" s="55"/>
      <c r="AB26" s="55"/>
      <c r="AC26" s="55"/>
      <c r="AD26" s="34"/>
      <c r="AE26" s="13"/>
      <c r="AF26" s="7"/>
      <c r="AG26" s="7"/>
      <c r="AH26" s="7"/>
      <c r="AI26" s="33"/>
      <c r="AJ26" s="33"/>
    </row>
    <row r="27" spans="1:36" x14ac:dyDescent="0.4">
      <c r="A27" s="46"/>
      <c r="C27" s="13">
        <v>-20</v>
      </c>
      <c r="D27" s="2"/>
      <c r="E27" s="24"/>
      <c r="F27" s="5"/>
      <c r="G27" s="5">
        <v>14.2</v>
      </c>
      <c r="H27" s="5">
        <v>6.1</v>
      </c>
      <c r="I27" s="5"/>
      <c r="J27" s="5"/>
      <c r="K27" s="5">
        <v>2.3278688524590163</v>
      </c>
      <c r="L27" s="36"/>
      <c r="M27" s="6">
        <v>65</v>
      </c>
      <c r="N27" s="34"/>
      <c r="O27" s="13">
        <v>-20</v>
      </c>
      <c r="P27" s="34"/>
      <c r="Q27" s="24"/>
      <c r="R27" s="5"/>
      <c r="S27" s="5">
        <v>14.2</v>
      </c>
      <c r="T27" s="5">
        <v>8.1</v>
      </c>
      <c r="U27" s="5"/>
      <c r="V27" s="5"/>
      <c r="W27" s="5">
        <v>1.7530864197530864</v>
      </c>
      <c r="X27" s="19"/>
      <c r="Y27" s="17"/>
      <c r="Z27" s="55"/>
      <c r="AA27" s="55"/>
      <c r="AB27" s="55"/>
      <c r="AC27" s="55"/>
      <c r="AD27" s="34"/>
      <c r="AE27" s="13" t="s">
        <v>38</v>
      </c>
      <c r="AF27" s="7">
        <v>15.5</v>
      </c>
      <c r="AG27" s="7">
        <v>4.5</v>
      </c>
      <c r="AH27" s="7">
        <f>AF27/AG27</f>
        <v>3.4444444444444446</v>
      </c>
      <c r="AI27" s="33"/>
      <c r="AJ27" s="33"/>
    </row>
    <row r="28" spans="1:36" x14ac:dyDescent="0.4">
      <c r="A28" s="3"/>
      <c r="C28" s="2">
        <v>-15</v>
      </c>
      <c r="D28" s="2"/>
      <c r="E28" s="24"/>
      <c r="F28" s="5"/>
      <c r="G28" s="5">
        <v>16</v>
      </c>
      <c r="H28" s="5">
        <v>6.7</v>
      </c>
      <c r="I28" s="5"/>
      <c r="J28" s="5"/>
      <c r="K28" s="5">
        <v>2.3880597014925371</v>
      </c>
      <c r="L28" s="36"/>
      <c r="M28" s="6">
        <v>75</v>
      </c>
      <c r="N28" s="34"/>
      <c r="O28" s="13">
        <v>-15</v>
      </c>
      <c r="P28" s="34"/>
      <c r="Q28" s="24"/>
      <c r="R28" s="5"/>
      <c r="S28" s="5">
        <v>16</v>
      </c>
      <c r="T28" s="5">
        <v>8.6999999999999993</v>
      </c>
      <c r="U28" s="5"/>
      <c r="V28" s="5"/>
      <c r="W28" s="5">
        <v>1.8390804597701149</v>
      </c>
      <c r="X28" s="19"/>
      <c r="Y28" s="17"/>
      <c r="Z28" s="55"/>
      <c r="AA28" s="55"/>
      <c r="AB28" s="55"/>
      <c r="AC28" s="55"/>
      <c r="AD28" s="34"/>
      <c r="AE28" s="13" t="s">
        <v>40</v>
      </c>
      <c r="AF28" s="7">
        <v>15.5</v>
      </c>
      <c r="AG28" s="7">
        <v>3.95</v>
      </c>
      <c r="AH28" s="7">
        <f>AF28/AG28</f>
        <v>3.9240506329113924</v>
      </c>
      <c r="AI28" s="33"/>
      <c r="AJ28" s="33"/>
    </row>
    <row r="29" spans="1:36" x14ac:dyDescent="0.4">
      <c r="A29" s="3"/>
      <c r="C29" s="2">
        <v>-10</v>
      </c>
      <c r="D29" s="2"/>
      <c r="E29" s="24"/>
      <c r="F29" s="5"/>
      <c r="G29" s="29" t="s">
        <v>61</v>
      </c>
      <c r="H29" s="29" t="s">
        <v>61</v>
      </c>
      <c r="I29" s="5"/>
      <c r="J29" s="5"/>
      <c r="K29" s="29" t="s">
        <v>61</v>
      </c>
      <c r="L29" s="36"/>
      <c r="M29" s="6">
        <v>75</v>
      </c>
      <c r="N29" s="34"/>
      <c r="O29" s="13">
        <v>-10</v>
      </c>
      <c r="P29" s="34"/>
      <c r="Q29" s="24"/>
      <c r="R29" s="5"/>
      <c r="S29" s="29" t="s">
        <v>61</v>
      </c>
      <c r="T29" s="29" t="s">
        <v>61</v>
      </c>
      <c r="U29" s="5"/>
      <c r="V29" s="5"/>
      <c r="W29" s="29" t="s">
        <v>61</v>
      </c>
      <c r="X29" s="34"/>
      <c r="Y29" s="17" t="s">
        <v>39</v>
      </c>
      <c r="Z29" s="5">
        <v>16</v>
      </c>
      <c r="AA29" s="5">
        <v>2.72</v>
      </c>
      <c r="AB29" s="5">
        <v>16</v>
      </c>
      <c r="AC29" s="5">
        <v>2.04</v>
      </c>
      <c r="AD29" s="34"/>
      <c r="AE29" s="33"/>
      <c r="AF29" s="33"/>
      <c r="AG29" s="33"/>
      <c r="AH29" s="33"/>
      <c r="AI29" s="33"/>
      <c r="AJ29" s="33"/>
    </row>
    <row r="30" spans="1:36" x14ac:dyDescent="0.4">
      <c r="A30" s="3"/>
      <c r="C30" s="2">
        <v>-7</v>
      </c>
      <c r="D30" s="2"/>
      <c r="E30" s="24"/>
      <c r="F30" s="5"/>
      <c r="G30" s="5">
        <v>16</v>
      </c>
      <c r="H30" s="5">
        <v>6.32</v>
      </c>
      <c r="I30" s="5"/>
      <c r="J30" s="5"/>
      <c r="K30" s="5">
        <v>2.5316455696202533</v>
      </c>
      <c r="L30" s="36"/>
      <c r="M30" s="6">
        <v>75</v>
      </c>
      <c r="N30" s="34"/>
      <c r="O30" s="13">
        <v>-7</v>
      </c>
      <c r="P30" s="34"/>
      <c r="Q30" s="24"/>
      <c r="R30" s="5"/>
      <c r="S30" s="5">
        <v>16</v>
      </c>
      <c r="T30" s="5">
        <v>8.1199999999999992</v>
      </c>
      <c r="U30" s="5"/>
      <c r="V30" s="5"/>
      <c r="W30" s="5">
        <v>1.9704433497536946</v>
      </c>
      <c r="X30" s="34"/>
      <c r="Y30" s="5">
        <f>AA30*(1.029-(0.05*Z30/G32))</f>
        <v>2.8357199999999994</v>
      </c>
      <c r="Z30" s="5">
        <v>14.2</v>
      </c>
      <c r="AA30" s="5">
        <v>2.88</v>
      </c>
      <c r="AB30" s="5">
        <v>14.2</v>
      </c>
      <c r="AC30" s="5">
        <v>2.2200000000000002</v>
      </c>
      <c r="AD30" s="34"/>
      <c r="AE30" s="34"/>
      <c r="AF30" s="34"/>
      <c r="AG30" s="34"/>
      <c r="AH30" s="33"/>
      <c r="AI30" s="33"/>
      <c r="AJ30" s="33"/>
    </row>
    <row r="31" spans="1:36" x14ac:dyDescent="0.4">
      <c r="A31" s="3"/>
      <c r="C31" s="2">
        <v>2</v>
      </c>
      <c r="D31" s="2"/>
      <c r="E31" s="24"/>
      <c r="F31" s="5"/>
      <c r="G31" s="5">
        <v>16</v>
      </c>
      <c r="H31" s="5">
        <v>4.8499999999999996</v>
      </c>
      <c r="I31" s="5"/>
      <c r="J31" s="5"/>
      <c r="K31" s="5">
        <v>3.2989690721649483</v>
      </c>
      <c r="L31" s="36"/>
      <c r="M31" s="6">
        <v>75</v>
      </c>
      <c r="N31" s="34"/>
      <c r="O31" s="13">
        <v>2</v>
      </c>
      <c r="P31" s="34"/>
      <c r="Q31" s="24"/>
      <c r="R31" s="5"/>
      <c r="S31" s="5">
        <v>16</v>
      </c>
      <c r="T31" s="5">
        <v>6.75</v>
      </c>
      <c r="U31" s="5"/>
      <c r="V31" s="5"/>
      <c r="W31" s="5">
        <v>2.3703703703703702</v>
      </c>
      <c r="X31" s="34"/>
      <c r="Y31" s="5">
        <f>AA31*(0.906-(0.044*Z31/G32))</f>
        <v>4.0499865000000002</v>
      </c>
      <c r="Z31" s="5">
        <v>8.6</v>
      </c>
      <c r="AA31" s="5">
        <v>4.59</v>
      </c>
      <c r="AB31" s="5">
        <v>8.6</v>
      </c>
      <c r="AC31" s="5">
        <v>3.66</v>
      </c>
      <c r="AD31" s="34"/>
      <c r="AE31" s="34"/>
      <c r="AF31" s="34"/>
      <c r="AG31" s="34"/>
      <c r="AH31" s="33"/>
      <c r="AI31" s="33"/>
      <c r="AJ31" s="33"/>
    </row>
    <row r="32" spans="1:36" x14ac:dyDescent="0.4">
      <c r="A32" s="3"/>
      <c r="C32" s="2">
        <v>7</v>
      </c>
      <c r="D32" s="2"/>
      <c r="E32" s="24"/>
      <c r="F32" s="5"/>
      <c r="G32" s="5">
        <v>16</v>
      </c>
      <c r="H32" s="5">
        <v>3.27</v>
      </c>
      <c r="I32" s="5"/>
      <c r="J32" s="5"/>
      <c r="K32" s="5">
        <v>4.8929663608562688</v>
      </c>
      <c r="L32" s="36"/>
      <c r="M32" s="6">
        <v>75</v>
      </c>
      <c r="N32" s="34"/>
      <c r="O32" s="13">
        <v>7</v>
      </c>
      <c r="P32" s="34"/>
      <c r="Q32" s="24"/>
      <c r="R32" s="5"/>
      <c r="S32" s="5">
        <v>16</v>
      </c>
      <c r="T32" s="5">
        <v>5</v>
      </c>
      <c r="U32" s="5"/>
      <c r="V32" s="5"/>
      <c r="W32" s="5">
        <v>3.2</v>
      </c>
      <c r="X32" s="34"/>
      <c r="Y32" s="5">
        <f>K32</f>
        <v>4.8929663608562688</v>
      </c>
      <c r="Z32" s="5">
        <v>5.5</v>
      </c>
      <c r="AA32" s="5">
        <v>6.33</v>
      </c>
      <c r="AB32" s="5">
        <v>5.5</v>
      </c>
      <c r="AC32" s="5">
        <v>4.8099999999999996</v>
      </c>
      <c r="AD32" s="34"/>
      <c r="AE32" s="34"/>
      <c r="AF32" s="34"/>
      <c r="AG32" s="34"/>
      <c r="AH32" s="33"/>
      <c r="AI32" s="33"/>
      <c r="AJ32" s="33"/>
    </row>
    <row r="33" spans="1:36" x14ac:dyDescent="0.4">
      <c r="A33" s="3"/>
      <c r="C33" s="2">
        <v>12</v>
      </c>
      <c r="D33" s="2"/>
      <c r="E33" s="24"/>
      <c r="F33" s="5"/>
      <c r="G33" s="29" t="s">
        <v>61</v>
      </c>
      <c r="H33" s="29" t="s">
        <v>61</v>
      </c>
      <c r="I33" s="5"/>
      <c r="J33" s="5"/>
      <c r="K33" s="29" t="s">
        <v>61</v>
      </c>
      <c r="L33" s="36"/>
      <c r="M33" s="6">
        <v>75</v>
      </c>
      <c r="N33" s="34"/>
      <c r="O33" s="13">
        <v>12</v>
      </c>
      <c r="P33" s="34"/>
      <c r="Q33" s="24"/>
      <c r="R33" s="5"/>
      <c r="S33" s="29" t="s">
        <v>61</v>
      </c>
      <c r="T33" s="29" t="s">
        <v>61</v>
      </c>
      <c r="U33" s="5"/>
      <c r="V33" s="5"/>
      <c r="W33" s="29" t="s">
        <v>61</v>
      </c>
      <c r="X33" s="34"/>
      <c r="Y33" s="17"/>
      <c r="Z33" s="5">
        <v>5.8</v>
      </c>
      <c r="AA33" s="5">
        <v>7.83</v>
      </c>
      <c r="AB33" s="5">
        <v>5.5</v>
      </c>
      <c r="AC33" s="5">
        <v>5.78</v>
      </c>
      <c r="AD33" s="34"/>
      <c r="AE33" s="34"/>
      <c r="AF33" s="34"/>
      <c r="AG33" s="34"/>
      <c r="AH33" s="33"/>
      <c r="AI33" s="33"/>
      <c r="AJ33" s="33"/>
    </row>
    <row r="34" spans="1:36" x14ac:dyDescent="0.4">
      <c r="A34" s="8"/>
      <c r="B34" s="8"/>
      <c r="C34" s="9"/>
      <c r="D34" s="9"/>
      <c r="E34" s="30"/>
      <c r="F34" s="30"/>
      <c r="G34" s="31"/>
      <c r="H34" s="31"/>
      <c r="I34" s="31"/>
      <c r="J34" s="31"/>
      <c r="K34" s="31"/>
      <c r="L34" s="30"/>
      <c r="M34" s="30"/>
      <c r="N34" s="30"/>
      <c r="O34" s="30"/>
      <c r="P34" s="30"/>
      <c r="Q34" s="30"/>
      <c r="R34" s="31"/>
      <c r="S34" s="31"/>
      <c r="T34" s="31"/>
      <c r="U34" s="31"/>
      <c r="V34" s="31"/>
      <c r="W34" s="31"/>
      <c r="X34" s="30"/>
      <c r="Y34" s="56"/>
      <c r="Z34" s="56"/>
      <c r="AA34" s="56"/>
      <c r="AB34" s="56"/>
      <c r="AC34" s="56"/>
      <c r="AD34" s="30"/>
      <c r="AE34" s="30"/>
      <c r="AF34" s="30"/>
      <c r="AG34" s="30"/>
      <c r="AH34" s="30"/>
      <c r="AI34" s="33"/>
      <c r="AJ34" s="33"/>
    </row>
    <row r="35" spans="1:36" s="1" customFormat="1" x14ac:dyDescent="0.4">
      <c r="A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s="57"/>
      <c r="Z35" s="57"/>
      <c r="AA35" s="57"/>
      <c r="AB35" s="57"/>
      <c r="AC35" s="57"/>
      <c r="AD35"/>
      <c r="AE35"/>
      <c r="AF35" s="15"/>
      <c r="AG35" s="15"/>
      <c r="AH35" s="15"/>
    </row>
    <row r="36" spans="1:36" x14ac:dyDescent="0.4">
      <c r="A36" s="47"/>
      <c r="Y36" s="57"/>
      <c r="Z36" s="57"/>
      <c r="AA36" s="57"/>
      <c r="AB36" s="57"/>
      <c r="AC36" s="57"/>
    </row>
    <row r="38" spans="1:36" x14ac:dyDescent="0.4">
      <c r="A38" s="33"/>
      <c r="B38" s="53"/>
    </row>
    <row r="39" spans="1:36" x14ac:dyDescent="0.4">
      <c r="A39" s="33"/>
      <c r="B39" s="53"/>
    </row>
    <row r="40" spans="1:36" x14ac:dyDescent="0.4">
      <c r="A40" s="53"/>
      <c r="B40" s="53"/>
    </row>
    <row r="41" spans="1:36" x14ac:dyDescent="0.4">
      <c r="A41" s="33"/>
      <c r="B41" s="53"/>
    </row>
    <row r="42" spans="1:36" x14ac:dyDescent="0.4">
      <c r="A42" s="33"/>
      <c r="B42" s="53"/>
    </row>
    <row r="44" spans="1:36" x14ac:dyDescent="0.4">
      <c r="A44"/>
    </row>
    <row r="45" spans="1:36" x14ac:dyDescent="0.4">
      <c r="A4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7B17-24B6-41C1-B604-A559FB598EB9}">
  <sheetPr>
    <tabColor rgb="FF7030A0"/>
  </sheetPr>
  <dimension ref="A1:AH75"/>
  <sheetViews>
    <sheetView zoomScaleNormal="100" workbookViewId="0">
      <pane xSplit="3" ySplit="3" topLeftCell="D46" activePane="bottomRight" state="frozen"/>
      <selection pane="topRight" activeCell="D1" sqref="D1"/>
      <selection pane="bottomLeft" activeCell="A4" sqref="A4"/>
      <selection pane="bottomRight" activeCell="A75" sqref="A75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112</v>
      </c>
      <c r="B5" s="1" t="s">
        <v>68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9"/>
      <c r="O5" s="4">
        <v>-28</v>
      </c>
      <c r="P5" s="19"/>
      <c r="Q5" s="5"/>
      <c r="R5" s="5"/>
      <c r="S5" s="5"/>
      <c r="T5" s="5"/>
      <c r="U5" s="5"/>
      <c r="V5" s="5"/>
      <c r="W5" s="5"/>
      <c r="X5" s="4">
        <v>9</v>
      </c>
      <c r="Y5" s="17"/>
      <c r="Z5" s="5"/>
      <c r="AA5" s="5"/>
      <c r="AB5" s="5"/>
      <c r="AC5" s="5"/>
      <c r="AD5" s="19"/>
      <c r="AE5" s="19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17"/>
      <c r="M6" s="6">
        <v>55</v>
      </c>
      <c r="N6" s="19"/>
      <c r="O6" s="13">
        <v>-25</v>
      </c>
      <c r="P6" s="19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9"/>
      <c r="AE6" s="19"/>
      <c r="AF6" s="7"/>
      <c r="AG6" s="7"/>
      <c r="AH6" s="7"/>
    </row>
    <row r="7" spans="1:34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9"/>
      <c r="O7" s="13">
        <v>-20</v>
      </c>
      <c r="P7" s="19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9"/>
      <c r="Y7" s="17"/>
      <c r="Z7" s="5"/>
      <c r="AA7" s="5"/>
      <c r="AB7" s="5"/>
      <c r="AC7" s="5"/>
      <c r="AD7" s="19"/>
      <c r="AE7" s="19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9"/>
      <c r="O8" s="13">
        <v>-15</v>
      </c>
      <c r="P8" s="19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9"/>
      <c r="Y8" s="17"/>
      <c r="Z8" s="5"/>
      <c r="AA8" s="5"/>
      <c r="AB8" s="5"/>
      <c r="AC8" s="5"/>
      <c r="AD8" s="19"/>
      <c r="AE8" s="19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9"/>
      <c r="O9" s="13">
        <v>-10</v>
      </c>
      <c r="P9" s="19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9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9"/>
      <c r="AE9" s="20"/>
      <c r="AF9" s="20"/>
      <c r="AG9" s="20"/>
      <c r="AH9" s="20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9"/>
      <c r="O10" s="13">
        <v>-7</v>
      </c>
      <c r="P10" s="19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9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9"/>
      <c r="AE10" s="19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9"/>
      <c r="O11" s="13">
        <v>2</v>
      </c>
      <c r="P11" s="19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9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9"/>
      <c r="AE11" s="19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9"/>
      <c r="O12" s="13">
        <v>7</v>
      </c>
      <c r="P12" s="19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9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9"/>
      <c r="AE12" s="19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9"/>
      <c r="O13" s="13">
        <v>12</v>
      </c>
      <c r="P13" s="19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9"/>
      <c r="Y13" s="17"/>
      <c r="Z13" s="5">
        <v>5.7</v>
      </c>
      <c r="AA13" s="5">
        <v>7.8</v>
      </c>
      <c r="AB13" s="5">
        <v>5.6</v>
      </c>
      <c r="AC13" s="5">
        <v>5.78</v>
      </c>
      <c r="AD13" s="19"/>
      <c r="AE13" s="19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22"/>
      <c r="H14" s="22"/>
      <c r="I14" s="22"/>
      <c r="J14" s="22"/>
      <c r="K14" s="22"/>
      <c r="L14" s="18"/>
      <c r="M14" s="18"/>
      <c r="N14" s="18"/>
      <c r="O14" s="18"/>
      <c r="P14" s="18"/>
      <c r="Q14" s="18"/>
      <c r="R14" s="22"/>
      <c r="S14" s="22"/>
      <c r="T14" s="22"/>
      <c r="U14" s="22"/>
      <c r="V14" s="22"/>
      <c r="W14" s="22"/>
      <c r="X14" s="18"/>
      <c r="Y14" s="22"/>
      <c r="Z14" s="22"/>
      <c r="AA14" s="22"/>
      <c r="AB14" s="22"/>
      <c r="AC14" s="22"/>
      <c r="AD14" s="18"/>
      <c r="AE14" s="18"/>
      <c r="AF14" s="18"/>
      <c r="AG14" s="18"/>
      <c r="AH14" s="18"/>
    </row>
    <row r="15" spans="1:34" ht="14.4" customHeight="1" x14ac:dyDescent="0.4">
      <c r="A15" s="3" t="s">
        <v>116</v>
      </c>
      <c r="B15" s="1" t="s">
        <v>68</v>
      </c>
      <c r="C15" s="4">
        <v>-28</v>
      </c>
      <c r="D15" s="2"/>
      <c r="E15" s="35"/>
      <c r="F15" s="5"/>
      <c r="G15" s="5"/>
      <c r="H15" s="5"/>
      <c r="I15" s="5"/>
      <c r="J15" s="5"/>
      <c r="K15" s="5"/>
      <c r="L15" s="17"/>
      <c r="M15" s="6">
        <v>55</v>
      </c>
      <c r="N15" s="19"/>
      <c r="O15" s="4">
        <v>-28</v>
      </c>
      <c r="P15" s="19"/>
      <c r="Q15" s="5"/>
      <c r="R15" s="5"/>
      <c r="S15" s="5"/>
      <c r="T15" s="5"/>
      <c r="U15" s="5"/>
      <c r="V15" s="5"/>
      <c r="W15" s="5"/>
      <c r="X15" s="4">
        <v>9</v>
      </c>
      <c r="Y15" s="17"/>
      <c r="Z15" s="5"/>
      <c r="AA15" s="5"/>
      <c r="AB15" s="5"/>
      <c r="AC15" s="5"/>
      <c r="AD15" s="19"/>
      <c r="AE15" s="19" t="s">
        <v>37</v>
      </c>
      <c r="AF15" s="7">
        <v>9</v>
      </c>
      <c r="AG15" s="7">
        <v>2.4900000000000002</v>
      </c>
      <c r="AH15" s="7">
        <f>AF15/AG15</f>
        <v>3.6144578313253009</v>
      </c>
    </row>
    <row r="16" spans="1:34" ht="14.4" customHeight="1" x14ac:dyDescent="0.4">
      <c r="A16" s="3"/>
      <c r="C16" s="13">
        <v>-25</v>
      </c>
      <c r="D16" s="2"/>
      <c r="E16" s="35"/>
      <c r="F16" s="5"/>
      <c r="G16" s="5">
        <v>8.1999999999999993</v>
      </c>
      <c r="H16" s="5">
        <v>4.2</v>
      </c>
      <c r="I16" s="5"/>
      <c r="J16" s="5"/>
      <c r="K16" s="5">
        <v>1.9523809523809523</v>
      </c>
      <c r="L16" s="17"/>
      <c r="M16" s="6">
        <v>55</v>
      </c>
      <c r="N16" s="19"/>
      <c r="O16" s="13">
        <v>-25</v>
      </c>
      <c r="P16" s="19"/>
      <c r="Q16" s="5"/>
      <c r="R16" s="5"/>
      <c r="S16" s="5">
        <v>7.6</v>
      </c>
      <c r="T16" s="5">
        <v>5.7</v>
      </c>
      <c r="U16" s="5"/>
      <c r="V16" s="5"/>
      <c r="W16" s="5">
        <v>1.3333333333333333</v>
      </c>
      <c r="X16" s="19"/>
      <c r="Y16" s="17"/>
      <c r="Z16" s="5"/>
      <c r="AA16" s="5"/>
      <c r="AB16" s="5"/>
      <c r="AC16" s="5"/>
      <c r="AD16" s="19"/>
      <c r="AE16" s="19"/>
      <c r="AF16" s="7"/>
      <c r="AG16" s="7"/>
      <c r="AH16" s="7"/>
    </row>
    <row r="17" spans="1:34" x14ac:dyDescent="0.4">
      <c r="A17" s="46"/>
      <c r="C17" s="13">
        <v>-20</v>
      </c>
      <c r="D17" s="2"/>
      <c r="E17" s="35"/>
      <c r="F17" s="5"/>
      <c r="G17" s="5">
        <v>8.1999999999999993</v>
      </c>
      <c r="H17" s="5">
        <v>3.34</v>
      </c>
      <c r="I17" s="5"/>
      <c r="J17" s="5"/>
      <c r="K17" s="5">
        <v>2.4550898203592815</v>
      </c>
      <c r="L17" s="17"/>
      <c r="M17" s="6">
        <v>65</v>
      </c>
      <c r="N17" s="19"/>
      <c r="O17" s="13">
        <v>-20</v>
      </c>
      <c r="P17" s="19"/>
      <c r="Q17" s="5"/>
      <c r="R17" s="5"/>
      <c r="S17" s="5">
        <v>7.6</v>
      </c>
      <c r="T17" s="5">
        <v>4.76</v>
      </c>
      <c r="U17" s="5"/>
      <c r="V17" s="5"/>
      <c r="W17" s="5">
        <v>1.596638655462185</v>
      </c>
      <c r="X17" s="19"/>
      <c r="Y17" s="17"/>
      <c r="Z17" s="5"/>
      <c r="AA17" s="5"/>
      <c r="AB17" s="5"/>
      <c r="AC17" s="5"/>
      <c r="AD17" s="19"/>
      <c r="AE17" s="19" t="s">
        <v>38</v>
      </c>
      <c r="AF17" s="7">
        <v>9.8000000000000007</v>
      </c>
      <c r="AG17" s="7">
        <v>2.63</v>
      </c>
      <c r="AH17" s="7">
        <f>AF17/AG17</f>
        <v>3.7262357414448672</v>
      </c>
    </row>
    <row r="18" spans="1:34" x14ac:dyDescent="0.4">
      <c r="A18" s="3"/>
      <c r="C18" s="2">
        <v>-15</v>
      </c>
      <c r="D18" s="2"/>
      <c r="E18" s="35"/>
      <c r="F18" s="5"/>
      <c r="G18" s="5">
        <v>9</v>
      </c>
      <c r="H18" s="5">
        <v>3.3</v>
      </c>
      <c r="I18" s="5"/>
      <c r="J18" s="5"/>
      <c r="K18" s="5">
        <v>2.7272727272727271</v>
      </c>
      <c r="L18" s="17"/>
      <c r="M18" s="6">
        <v>75</v>
      </c>
      <c r="N18" s="19"/>
      <c r="O18" s="13">
        <v>-15</v>
      </c>
      <c r="P18" s="19"/>
      <c r="Q18" s="5"/>
      <c r="R18" s="5"/>
      <c r="S18" s="5">
        <v>9</v>
      </c>
      <c r="T18" s="5">
        <v>4.4800000000000004</v>
      </c>
      <c r="U18" s="5"/>
      <c r="V18" s="5"/>
      <c r="W18" s="5">
        <v>2.0089285714285716</v>
      </c>
      <c r="X18" s="19"/>
      <c r="Y18" s="17"/>
      <c r="Z18" s="5"/>
      <c r="AA18" s="5"/>
      <c r="AB18" s="5"/>
      <c r="AC18" s="5"/>
      <c r="AD18" s="19"/>
      <c r="AE18" s="19" t="s">
        <v>40</v>
      </c>
      <c r="AF18" s="7">
        <v>9</v>
      </c>
      <c r="AG18" s="7">
        <v>1.71</v>
      </c>
      <c r="AH18" s="7">
        <f>AF18/AG18</f>
        <v>5.2631578947368425</v>
      </c>
    </row>
    <row r="19" spans="1:34" x14ac:dyDescent="0.4">
      <c r="A19" s="3"/>
      <c r="C19" s="2">
        <v>-10</v>
      </c>
      <c r="D19" s="2"/>
      <c r="E19" s="3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9"/>
      <c r="O19" s="13">
        <v>-10</v>
      </c>
      <c r="P19" s="19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9"/>
      <c r="Y19" s="17" t="s">
        <v>39</v>
      </c>
      <c r="Z19" s="5">
        <v>9</v>
      </c>
      <c r="AA19" s="5">
        <v>3.19</v>
      </c>
      <c r="AB19" s="5">
        <v>9</v>
      </c>
      <c r="AC19" s="5">
        <v>2.17</v>
      </c>
      <c r="AD19" s="19"/>
      <c r="AE19" s="20"/>
      <c r="AF19" s="20"/>
      <c r="AG19" s="20"/>
      <c r="AH19" s="20"/>
    </row>
    <row r="20" spans="1:34" x14ac:dyDescent="0.4">
      <c r="A20" s="3"/>
      <c r="C20" s="2">
        <v>-7</v>
      </c>
      <c r="D20" s="2"/>
      <c r="E20" s="35"/>
      <c r="F20" s="5"/>
      <c r="G20" s="5">
        <v>9</v>
      </c>
      <c r="H20" s="5">
        <v>2.61</v>
      </c>
      <c r="I20" s="5"/>
      <c r="J20" s="5"/>
      <c r="K20" s="5">
        <v>3.4482758620689653</v>
      </c>
      <c r="L20" s="17"/>
      <c r="M20" s="6">
        <v>75</v>
      </c>
      <c r="N20" s="19"/>
      <c r="O20" s="13">
        <v>-7</v>
      </c>
      <c r="P20" s="19"/>
      <c r="Q20" s="5"/>
      <c r="R20" s="5"/>
      <c r="S20" s="5">
        <v>9</v>
      </c>
      <c r="T20" s="5">
        <v>3.83</v>
      </c>
      <c r="U20" s="5"/>
      <c r="V20" s="5"/>
      <c r="W20" s="5">
        <v>2.3498694516971281</v>
      </c>
      <c r="X20" s="19"/>
      <c r="Y20" s="5">
        <f>AA20*(1.029-(0.05*Z20/G22))</f>
        <v>3.4656355555555556</v>
      </c>
      <c r="Z20" s="5">
        <v>8</v>
      </c>
      <c r="AA20" s="5">
        <v>3.52</v>
      </c>
      <c r="AB20" s="5">
        <v>8</v>
      </c>
      <c r="AC20" s="5">
        <v>2.4900000000000002</v>
      </c>
      <c r="AD20" s="19"/>
      <c r="AE20" s="19"/>
      <c r="AF20" s="19"/>
      <c r="AG20" s="19"/>
      <c r="AH20" s="20"/>
    </row>
    <row r="21" spans="1:34" x14ac:dyDescent="0.4">
      <c r="A21" s="3"/>
      <c r="C21" s="2">
        <v>2</v>
      </c>
      <c r="D21" s="2"/>
      <c r="E21" s="35"/>
      <c r="F21" s="5"/>
      <c r="G21" s="5">
        <v>9</v>
      </c>
      <c r="H21" s="5">
        <v>2.36</v>
      </c>
      <c r="I21" s="5"/>
      <c r="J21" s="5"/>
      <c r="K21" s="5">
        <v>3.8135593220338984</v>
      </c>
      <c r="L21" s="17"/>
      <c r="M21" s="6">
        <v>75</v>
      </c>
      <c r="N21" s="19"/>
      <c r="O21" s="13">
        <v>2</v>
      </c>
      <c r="P21" s="19"/>
      <c r="Q21" s="5"/>
      <c r="R21" s="5"/>
      <c r="S21" s="5">
        <v>9</v>
      </c>
      <c r="T21" s="5">
        <v>3.54</v>
      </c>
      <c r="U21" s="5"/>
      <c r="V21" s="5"/>
      <c r="W21" s="5">
        <v>2.5423728813559321</v>
      </c>
      <c r="X21" s="19"/>
      <c r="Y21" s="5">
        <f>AA21*(0.906-(0.044*Z21/G22))</f>
        <v>4.2690951111111115</v>
      </c>
      <c r="Z21" s="5">
        <v>4.9000000000000004</v>
      </c>
      <c r="AA21" s="5">
        <v>4.84</v>
      </c>
      <c r="AB21" s="5">
        <v>4.9000000000000004</v>
      </c>
      <c r="AC21" s="5">
        <v>3.29</v>
      </c>
      <c r="AD21" s="19"/>
      <c r="AE21" s="19"/>
      <c r="AF21" s="19"/>
      <c r="AG21" s="19"/>
      <c r="AH21" s="20"/>
    </row>
    <row r="22" spans="1:34" x14ac:dyDescent="0.4">
      <c r="A22" s="3"/>
      <c r="C22" s="2">
        <v>7</v>
      </c>
      <c r="D22" s="2"/>
      <c r="E22" s="35"/>
      <c r="F22" s="5"/>
      <c r="G22" s="5">
        <v>9</v>
      </c>
      <c r="H22" s="5">
        <v>1.72</v>
      </c>
      <c r="I22" s="5"/>
      <c r="J22" s="5"/>
      <c r="K22" s="5">
        <v>5.2325581395348841</v>
      </c>
      <c r="L22" s="17"/>
      <c r="M22" s="6">
        <v>75</v>
      </c>
      <c r="N22" s="19"/>
      <c r="O22" s="13">
        <v>7</v>
      </c>
      <c r="P22" s="19"/>
      <c r="Q22" s="5"/>
      <c r="R22" s="5"/>
      <c r="S22" s="5">
        <v>9</v>
      </c>
      <c r="T22" s="5">
        <v>2.78</v>
      </c>
      <c r="U22" s="5"/>
      <c r="V22" s="5"/>
      <c r="W22" s="5">
        <v>3.2374100719424459</v>
      </c>
      <c r="X22" s="19"/>
      <c r="Y22" s="5">
        <f>K22</f>
        <v>5.2325581395348841</v>
      </c>
      <c r="Z22" s="5">
        <v>4.8</v>
      </c>
      <c r="AA22" s="5">
        <v>6.15</v>
      </c>
      <c r="AB22" s="5">
        <v>4.7</v>
      </c>
      <c r="AC22" s="5">
        <v>4.42</v>
      </c>
      <c r="AD22" s="19"/>
      <c r="AE22" s="19"/>
      <c r="AF22" s="19"/>
      <c r="AG22" s="19"/>
      <c r="AH22" s="20"/>
    </row>
    <row r="23" spans="1:34" x14ac:dyDescent="0.4">
      <c r="A23" s="3"/>
      <c r="C23" s="2">
        <v>12</v>
      </c>
      <c r="D23" s="2"/>
      <c r="E23" s="3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9"/>
      <c r="O23" s="13">
        <v>12</v>
      </c>
      <c r="P23" s="19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9"/>
      <c r="Y23" s="17"/>
      <c r="Z23" s="5">
        <v>5.7</v>
      </c>
      <c r="AA23" s="5">
        <v>7.8</v>
      </c>
      <c r="AB23" s="5">
        <v>5.6</v>
      </c>
      <c r="AC23" s="5">
        <v>5.78</v>
      </c>
      <c r="AD23" s="19"/>
      <c r="AE23" s="19"/>
      <c r="AF23" s="19"/>
      <c r="AG23" s="19"/>
      <c r="AH23" s="20"/>
    </row>
    <row r="24" spans="1:34" x14ac:dyDescent="0.4">
      <c r="A24" s="8"/>
      <c r="B24" s="8"/>
      <c r="C24" s="9"/>
      <c r="D24" s="9"/>
      <c r="E24" s="18"/>
      <c r="F24" s="18"/>
      <c r="G24" s="22"/>
      <c r="H24" s="22"/>
      <c r="I24" s="22"/>
      <c r="J24" s="22"/>
      <c r="K24" s="22"/>
      <c r="L24" s="18"/>
      <c r="M24" s="18"/>
      <c r="N24" s="18"/>
      <c r="O24" s="18"/>
      <c r="P24" s="18"/>
      <c r="Q24" s="18"/>
      <c r="R24" s="22"/>
      <c r="S24" s="22"/>
      <c r="T24" s="22"/>
      <c r="U24" s="22"/>
      <c r="V24" s="22"/>
      <c r="W24" s="22"/>
      <c r="X24" s="18"/>
      <c r="Y24" s="22"/>
      <c r="Z24" s="22"/>
      <c r="AA24" s="22"/>
      <c r="AB24" s="22"/>
      <c r="AC24" s="22"/>
      <c r="AD24" s="18"/>
      <c r="AE24" s="18"/>
      <c r="AF24" s="18"/>
      <c r="AG24" s="18"/>
      <c r="AH24" s="18"/>
    </row>
    <row r="25" spans="1:34" x14ac:dyDescent="0.4">
      <c r="A25" s="3" t="s">
        <v>112</v>
      </c>
      <c r="B25" s="1" t="s">
        <v>67</v>
      </c>
      <c r="C25" s="4">
        <v>-28</v>
      </c>
      <c r="D25" s="2"/>
      <c r="E25" s="5"/>
      <c r="F25" s="5"/>
      <c r="G25" s="5"/>
      <c r="H25" s="5"/>
      <c r="I25" s="5"/>
      <c r="J25" s="5"/>
      <c r="K25" s="5"/>
      <c r="L25" s="17"/>
      <c r="M25" s="6">
        <v>55</v>
      </c>
      <c r="N25" s="19"/>
      <c r="O25" s="4">
        <v>-28</v>
      </c>
      <c r="P25" s="19"/>
      <c r="Q25" s="5"/>
      <c r="R25" s="5"/>
      <c r="S25" s="5"/>
      <c r="T25" s="5"/>
      <c r="U25" s="5"/>
      <c r="V25" s="5"/>
      <c r="W25" s="5"/>
      <c r="X25" s="4">
        <v>9</v>
      </c>
      <c r="Y25" s="17"/>
      <c r="Z25" s="5"/>
      <c r="AA25" s="5"/>
      <c r="AB25" s="5"/>
      <c r="AC25" s="5"/>
      <c r="AD25" s="19"/>
      <c r="AE25" s="19" t="s">
        <v>37</v>
      </c>
      <c r="AF25" s="7">
        <v>12</v>
      </c>
      <c r="AG25" s="7">
        <v>4.21</v>
      </c>
      <c r="AH25" s="7">
        <f>AF25/AG25</f>
        <v>2.8503562945368173</v>
      </c>
    </row>
    <row r="26" spans="1:34" x14ac:dyDescent="0.4">
      <c r="A26" s="3"/>
      <c r="C26" s="13">
        <v>-25</v>
      </c>
      <c r="D26" s="2"/>
      <c r="E26" s="5"/>
      <c r="F26" s="5"/>
      <c r="G26" s="5">
        <v>10.5</v>
      </c>
      <c r="H26" s="5">
        <v>5.55</v>
      </c>
      <c r="I26" s="5"/>
      <c r="J26" s="5"/>
      <c r="K26" s="5">
        <v>1.8918918918918919</v>
      </c>
      <c r="L26" s="17"/>
      <c r="M26" s="6">
        <v>55</v>
      </c>
      <c r="N26" s="19"/>
      <c r="O26" s="13">
        <v>-25</v>
      </c>
      <c r="P26" s="19"/>
      <c r="Q26" s="5"/>
      <c r="R26" s="5"/>
      <c r="S26" s="5">
        <v>9.6999999999999993</v>
      </c>
      <c r="T26" s="5">
        <v>7.4</v>
      </c>
      <c r="U26" s="5"/>
      <c r="V26" s="5"/>
      <c r="W26" s="5">
        <v>1.3108108108108107</v>
      </c>
      <c r="X26" s="19"/>
      <c r="Y26" s="17"/>
      <c r="Z26" s="5"/>
      <c r="AA26" s="5"/>
      <c r="AB26" s="5"/>
      <c r="AC26" s="5"/>
      <c r="AD26" s="19"/>
      <c r="AE26" s="19"/>
      <c r="AF26" s="7"/>
      <c r="AG26" s="7"/>
      <c r="AH26" s="7"/>
    </row>
    <row r="27" spans="1:34" x14ac:dyDescent="0.4">
      <c r="A27" s="46"/>
      <c r="C27" s="13">
        <v>-20</v>
      </c>
      <c r="D27" s="2"/>
      <c r="E27" s="5"/>
      <c r="F27" s="5"/>
      <c r="G27" s="5">
        <v>11.2</v>
      </c>
      <c r="H27" s="5">
        <v>4.75</v>
      </c>
      <c r="I27" s="5"/>
      <c r="J27" s="5"/>
      <c r="K27" s="5">
        <v>2.357894736842105</v>
      </c>
      <c r="L27" s="17"/>
      <c r="M27" s="6">
        <v>65</v>
      </c>
      <c r="N27" s="19"/>
      <c r="O27" s="13">
        <v>-20</v>
      </c>
      <c r="P27" s="19"/>
      <c r="Q27" s="5"/>
      <c r="R27" s="5"/>
      <c r="S27" s="5">
        <v>10.8</v>
      </c>
      <c r="T27" s="5">
        <v>6.45</v>
      </c>
      <c r="U27" s="5"/>
      <c r="V27" s="5"/>
      <c r="W27" s="5">
        <v>1.6744186046511629</v>
      </c>
      <c r="X27" s="19"/>
      <c r="Y27" s="17"/>
      <c r="Z27" s="5"/>
      <c r="AA27" s="5"/>
      <c r="AB27" s="5"/>
      <c r="AC27" s="5"/>
      <c r="AD27" s="19"/>
      <c r="AE27" s="19" t="s">
        <v>38</v>
      </c>
      <c r="AF27" s="7">
        <v>13.2</v>
      </c>
      <c r="AG27" s="7">
        <v>3.25</v>
      </c>
      <c r="AH27" s="7">
        <f>AF27/AG27</f>
        <v>4.0615384615384613</v>
      </c>
    </row>
    <row r="28" spans="1:34" x14ac:dyDescent="0.4">
      <c r="A28" s="3"/>
      <c r="C28" s="2">
        <v>-15</v>
      </c>
      <c r="D28" s="2"/>
      <c r="E28" s="5"/>
      <c r="F28" s="5"/>
      <c r="G28" s="5">
        <v>12</v>
      </c>
      <c r="H28" s="5">
        <v>4.5599999999999996</v>
      </c>
      <c r="I28" s="5"/>
      <c r="J28" s="5"/>
      <c r="K28" s="5">
        <v>2.6315789473684212</v>
      </c>
      <c r="L28" s="17"/>
      <c r="M28" s="6">
        <v>75</v>
      </c>
      <c r="N28" s="19"/>
      <c r="O28" s="13">
        <v>-15</v>
      </c>
      <c r="P28" s="19"/>
      <c r="Q28" s="5"/>
      <c r="R28" s="5"/>
      <c r="S28" s="5">
        <v>12</v>
      </c>
      <c r="T28" s="5">
        <v>6</v>
      </c>
      <c r="U28" s="5"/>
      <c r="V28" s="5"/>
      <c r="W28" s="5">
        <v>2</v>
      </c>
      <c r="X28" s="19"/>
      <c r="Y28" s="17"/>
      <c r="Z28" s="5"/>
      <c r="AA28" s="5"/>
      <c r="AB28" s="5"/>
      <c r="AC28" s="5"/>
      <c r="AD28" s="19"/>
      <c r="AE28" s="19" t="s">
        <v>40</v>
      </c>
      <c r="AF28" s="7">
        <v>12</v>
      </c>
      <c r="AG28" s="7">
        <v>2.8</v>
      </c>
      <c r="AH28" s="7">
        <f>AF28/AG28</f>
        <v>4.2857142857142856</v>
      </c>
    </row>
    <row r="29" spans="1:34" x14ac:dyDescent="0.4">
      <c r="A29" s="3"/>
      <c r="C29" s="2">
        <v>-10</v>
      </c>
      <c r="D29" s="2"/>
      <c r="E29" s="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9"/>
      <c r="O29" s="13">
        <v>-10</v>
      </c>
      <c r="P29" s="19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9"/>
      <c r="Y29" s="17" t="s">
        <v>39</v>
      </c>
      <c r="Z29" s="5">
        <v>12</v>
      </c>
      <c r="AA29" s="5">
        <v>2.91</v>
      </c>
      <c r="AB29" s="5">
        <v>12</v>
      </c>
      <c r="AC29" s="5">
        <v>2.12</v>
      </c>
      <c r="AD29" s="19"/>
      <c r="AE29" s="20"/>
      <c r="AF29" s="20"/>
      <c r="AG29" s="20"/>
      <c r="AH29" s="20"/>
    </row>
    <row r="30" spans="1:34" x14ac:dyDescent="0.4">
      <c r="A30" s="3"/>
      <c r="C30" s="2">
        <v>-7</v>
      </c>
      <c r="D30" s="2"/>
      <c r="E30" s="5"/>
      <c r="F30" s="5"/>
      <c r="G30" s="5">
        <v>12</v>
      </c>
      <c r="H30" s="5">
        <v>4</v>
      </c>
      <c r="I30" s="5"/>
      <c r="J30" s="5"/>
      <c r="K30" s="5">
        <v>3</v>
      </c>
      <c r="L30" s="17"/>
      <c r="M30" s="6">
        <v>75</v>
      </c>
      <c r="N30" s="19"/>
      <c r="O30" s="13">
        <v>-7</v>
      </c>
      <c r="P30" s="19"/>
      <c r="Q30" s="5"/>
      <c r="R30" s="5"/>
      <c r="S30" s="5">
        <v>12</v>
      </c>
      <c r="T30" s="5">
        <v>5.53</v>
      </c>
      <c r="U30" s="5"/>
      <c r="V30" s="5"/>
      <c r="W30" s="5">
        <v>2.1699819168173597</v>
      </c>
      <c r="X30" s="19"/>
      <c r="Y30" s="5">
        <f>AA30*(1.029-(0.05*Z30/G32))</f>
        <v>2.7476849999999997</v>
      </c>
      <c r="Z30" s="5">
        <v>10.6</v>
      </c>
      <c r="AA30" s="5">
        <v>2.79</v>
      </c>
      <c r="AB30" s="5">
        <v>10.6</v>
      </c>
      <c r="AC30" s="5">
        <v>2.2200000000000002</v>
      </c>
      <c r="AD30" s="19"/>
      <c r="AE30" s="19"/>
      <c r="AF30" s="19"/>
      <c r="AG30" s="19"/>
      <c r="AH30" s="20"/>
    </row>
    <row r="31" spans="1:34" x14ac:dyDescent="0.4">
      <c r="A31" s="3"/>
      <c r="C31" s="2">
        <v>2</v>
      </c>
      <c r="D31" s="2"/>
      <c r="E31" s="5"/>
      <c r="F31" s="5"/>
      <c r="G31" s="5">
        <v>12</v>
      </c>
      <c r="H31" s="5">
        <v>3.39</v>
      </c>
      <c r="I31" s="5"/>
      <c r="J31" s="5"/>
      <c r="K31" s="5">
        <v>3.5398230088495577</v>
      </c>
      <c r="L31" s="17"/>
      <c r="M31" s="6">
        <v>75</v>
      </c>
      <c r="N31" s="19"/>
      <c r="O31" s="13">
        <v>2</v>
      </c>
      <c r="P31" s="19"/>
      <c r="Q31" s="5"/>
      <c r="R31" s="5"/>
      <c r="S31" s="5">
        <v>12</v>
      </c>
      <c r="T31" s="5">
        <v>4.95</v>
      </c>
      <c r="U31" s="5"/>
      <c r="V31" s="5"/>
      <c r="W31" s="5">
        <v>2.4242424242424243</v>
      </c>
      <c r="X31" s="19"/>
      <c r="Y31" s="5">
        <f>AA31*(0.906-(0.044*Z31/G32))</f>
        <v>4.1020750000000001</v>
      </c>
      <c r="Z31" s="5">
        <v>6.5</v>
      </c>
      <c r="AA31" s="5">
        <v>4.6500000000000004</v>
      </c>
      <c r="AB31" s="5">
        <v>6.5</v>
      </c>
      <c r="AC31" s="5">
        <v>3.65</v>
      </c>
      <c r="AD31" s="19"/>
      <c r="AE31" s="19"/>
      <c r="AF31" s="19"/>
      <c r="AG31" s="19"/>
      <c r="AH31" s="20"/>
    </row>
    <row r="32" spans="1:34" x14ac:dyDescent="0.4">
      <c r="A32" s="3"/>
      <c r="C32" s="2">
        <v>7</v>
      </c>
      <c r="D32" s="2"/>
      <c r="E32" s="5"/>
      <c r="F32" s="5"/>
      <c r="G32" s="5">
        <v>12</v>
      </c>
      <c r="H32" s="5">
        <v>2.37</v>
      </c>
      <c r="I32" s="5"/>
      <c r="J32" s="5"/>
      <c r="K32" s="5">
        <v>5.0632911392405067</v>
      </c>
      <c r="L32" s="17"/>
      <c r="M32" s="6">
        <v>75</v>
      </c>
      <c r="N32" s="19"/>
      <c r="O32" s="13">
        <v>7</v>
      </c>
      <c r="P32" s="19"/>
      <c r="Q32" s="5"/>
      <c r="R32" s="5"/>
      <c r="S32" s="5">
        <v>12</v>
      </c>
      <c r="T32" s="5">
        <v>3.71</v>
      </c>
      <c r="U32" s="5"/>
      <c r="V32" s="5"/>
      <c r="W32" s="5">
        <v>3.2345013477088949</v>
      </c>
      <c r="X32" s="19"/>
      <c r="Y32" s="5">
        <f>K32</f>
        <v>5.0632911392405067</v>
      </c>
      <c r="Z32" s="5">
        <v>5.3</v>
      </c>
      <c r="AA32" s="5">
        <v>6.25</v>
      </c>
      <c r="AB32" s="5">
        <v>4.9000000000000004</v>
      </c>
      <c r="AC32" s="5">
        <v>4.57</v>
      </c>
      <c r="AD32" s="19"/>
      <c r="AE32" s="19"/>
      <c r="AF32" s="19"/>
      <c r="AG32" s="19"/>
      <c r="AH32" s="20"/>
    </row>
    <row r="33" spans="1:34" x14ac:dyDescent="0.4">
      <c r="A33" s="3"/>
      <c r="C33" s="2">
        <v>12</v>
      </c>
      <c r="D33" s="2"/>
      <c r="E33" s="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9"/>
      <c r="O33" s="13">
        <v>12</v>
      </c>
      <c r="P33" s="19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9"/>
      <c r="Y33" s="17"/>
      <c r="Z33" s="5">
        <v>6.1</v>
      </c>
      <c r="AA33" s="5">
        <v>7.78</v>
      </c>
      <c r="AB33" s="5">
        <v>5.7</v>
      </c>
      <c r="AC33" s="5">
        <v>5.84</v>
      </c>
      <c r="AD33" s="19"/>
      <c r="AE33" s="19"/>
      <c r="AF33" s="19"/>
      <c r="AG33" s="19"/>
      <c r="AH33" s="20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x14ac:dyDescent="0.4">
      <c r="A35" s="3" t="s">
        <v>116</v>
      </c>
      <c r="B35" s="1" t="s">
        <v>67</v>
      </c>
      <c r="C35" s="4">
        <v>-28</v>
      </c>
      <c r="D35" s="2"/>
      <c r="E35" s="5"/>
      <c r="F35" s="5"/>
      <c r="G35" s="5"/>
      <c r="H35" s="5"/>
      <c r="I35" s="5"/>
      <c r="J35" s="5"/>
      <c r="K35" s="5"/>
      <c r="L35" s="17"/>
      <c r="M35" s="6">
        <v>55</v>
      </c>
      <c r="N35" s="19"/>
      <c r="O35" s="4">
        <v>-28</v>
      </c>
      <c r="P35" s="19"/>
      <c r="Q35" s="5"/>
      <c r="R35" s="5"/>
      <c r="S35" s="5"/>
      <c r="T35" s="5"/>
      <c r="U35" s="5"/>
      <c r="V35" s="5"/>
      <c r="W35" s="5"/>
      <c r="X35" s="4">
        <v>9</v>
      </c>
      <c r="Y35" s="17"/>
      <c r="Z35" s="5"/>
      <c r="AA35" s="5"/>
      <c r="AB35" s="5"/>
      <c r="AC35" s="5"/>
      <c r="AD35" s="19"/>
      <c r="AE35" s="19" t="s">
        <v>37</v>
      </c>
      <c r="AF35" s="7">
        <v>12</v>
      </c>
      <c r="AG35" s="7">
        <v>4.21</v>
      </c>
      <c r="AH35" s="7">
        <f>AF35/AG35</f>
        <v>2.8503562945368173</v>
      </c>
    </row>
    <row r="36" spans="1:34" x14ac:dyDescent="0.4">
      <c r="A36" s="3"/>
      <c r="C36" s="13">
        <v>-25</v>
      </c>
      <c r="D36" s="2"/>
      <c r="E36" s="5"/>
      <c r="F36" s="5"/>
      <c r="G36" s="5">
        <v>10.5</v>
      </c>
      <c r="H36" s="5">
        <v>5.55</v>
      </c>
      <c r="I36" s="5"/>
      <c r="J36" s="5"/>
      <c r="K36" s="5">
        <v>1.8918918918918919</v>
      </c>
      <c r="L36" s="17"/>
      <c r="M36" s="6">
        <v>55</v>
      </c>
      <c r="N36" s="19"/>
      <c r="O36" s="13">
        <v>-25</v>
      </c>
      <c r="P36" s="19"/>
      <c r="Q36" s="5"/>
      <c r="R36" s="5"/>
      <c r="S36" s="5">
        <v>9.6999999999999993</v>
      </c>
      <c r="T36" s="5">
        <v>7.4</v>
      </c>
      <c r="U36" s="5"/>
      <c r="V36" s="5"/>
      <c r="W36" s="5">
        <v>1.3108108108108107</v>
      </c>
      <c r="X36" s="19"/>
      <c r="Y36" s="17"/>
      <c r="Z36" s="5"/>
      <c r="AA36" s="5"/>
      <c r="AB36" s="5"/>
      <c r="AC36" s="5"/>
      <c r="AD36" s="19"/>
      <c r="AE36" s="19"/>
      <c r="AF36" s="7"/>
      <c r="AG36" s="7"/>
      <c r="AH36" s="7"/>
    </row>
    <row r="37" spans="1:34" x14ac:dyDescent="0.4">
      <c r="A37" s="46"/>
      <c r="C37" s="13">
        <v>-20</v>
      </c>
      <c r="D37" s="2"/>
      <c r="E37" s="5"/>
      <c r="F37" s="5"/>
      <c r="G37" s="5">
        <v>11.2</v>
      </c>
      <c r="H37" s="5">
        <v>4.75</v>
      </c>
      <c r="I37" s="5"/>
      <c r="J37" s="5"/>
      <c r="K37" s="5">
        <v>2.357894736842105</v>
      </c>
      <c r="L37" s="17"/>
      <c r="M37" s="6">
        <v>65</v>
      </c>
      <c r="N37" s="19"/>
      <c r="O37" s="13">
        <v>-20</v>
      </c>
      <c r="P37" s="19"/>
      <c r="Q37" s="5"/>
      <c r="R37" s="5"/>
      <c r="S37" s="5">
        <v>10.8</v>
      </c>
      <c r="T37" s="5">
        <v>6.45</v>
      </c>
      <c r="U37" s="5"/>
      <c r="V37" s="5"/>
      <c r="W37" s="5">
        <v>1.6744186046511629</v>
      </c>
      <c r="X37" s="19"/>
      <c r="Y37" s="17"/>
      <c r="Z37" s="5"/>
      <c r="AA37" s="5"/>
      <c r="AB37" s="5"/>
      <c r="AC37" s="5"/>
      <c r="AD37" s="19"/>
      <c r="AE37" s="19" t="s">
        <v>38</v>
      </c>
      <c r="AF37" s="7">
        <v>13.2</v>
      </c>
      <c r="AG37" s="7">
        <v>3.25</v>
      </c>
      <c r="AH37" s="7">
        <f>AF37/AG37</f>
        <v>4.0615384615384613</v>
      </c>
    </row>
    <row r="38" spans="1:34" x14ac:dyDescent="0.4">
      <c r="A38" s="3"/>
      <c r="C38" s="2">
        <v>-15</v>
      </c>
      <c r="D38" s="2"/>
      <c r="E38" s="5"/>
      <c r="F38" s="5"/>
      <c r="G38" s="5">
        <v>12</v>
      </c>
      <c r="H38" s="5">
        <v>4.5599999999999996</v>
      </c>
      <c r="I38" s="5"/>
      <c r="J38" s="5"/>
      <c r="K38" s="5">
        <v>2.6315789473684212</v>
      </c>
      <c r="L38" s="17"/>
      <c r="M38" s="6">
        <v>75</v>
      </c>
      <c r="N38" s="19"/>
      <c r="O38" s="13">
        <v>-15</v>
      </c>
      <c r="P38" s="19"/>
      <c r="Q38" s="5"/>
      <c r="R38" s="5"/>
      <c r="S38" s="5">
        <v>12</v>
      </c>
      <c r="T38" s="5">
        <v>6</v>
      </c>
      <c r="U38" s="5"/>
      <c r="V38" s="5"/>
      <c r="W38" s="5">
        <v>2</v>
      </c>
      <c r="X38" s="19"/>
      <c r="Y38" s="17"/>
      <c r="Z38" s="5"/>
      <c r="AA38" s="5"/>
      <c r="AB38" s="5"/>
      <c r="AC38" s="5"/>
      <c r="AD38" s="19"/>
      <c r="AE38" s="19" t="s">
        <v>40</v>
      </c>
      <c r="AF38" s="7">
        <v>12</v>
      </c>
      <c r="AG38" s="7">
        <v>2.8</v>
      </c>
      <c r="AH38" s="7">
        <f>AF38/AG38</f>
        <v>4.2857142857142856</v>
      </c>
    </row>
    <row r="39" spans="1:34" x14ac:dyDescent="0.4">
      <c r="A39" s="3"/>
      <c r="C39" s="2">
        <v>-10</v>
      </c>
      <c r="D39" s="2"/>
      <c r="E39" s="5"/>
      <c r="F39" s="5"/>
      <c r="G39" s="29" t="s">
        <v>61</v>
      </c>
      <c r="H39" s="29" t="s">
        <v>61</v>
      </c>
      <c r="I39" s="5"/>
      <c r="J39" s="5"/>
      <c r="K39" s="29" t="s">
        <v>61</v>
      </c>
      <c r="L39" s="17"/>
      <c r="M39" s="6">
        <v>75</v>
      </c>
      <c r="N39" s="19"/>
      <c r="O39" s="13">
        <v>-10</v>
      </c>
      <c r="P39" s="19"/>
      <c r="Q39" s="5"/>
      <c r="R39" s="5"/>
      <c r="S39" s="29" t="s">
        <v>61</v>
      </c>
      <c r="T39" s="29" t="s">
        <v>61</v>
      </c>
      <c r="U39" s="5"/>
      <c r="V39" s="5"/>
      <c r="W39" s="29" t="s">
        <v>61</v>
      </c>
      <c r="X39" s="19"/>
      <c r="Y39" s="17" t="s">
        <v>39</v>
      </c>
      <c r="Z39" s="5">
        <v>12</v>
      </c>
      <c r="AA39" s="5">
        <v>2.91</v>
      </c>
      <c r="AB39" s="5">
        <v>12</v>
      </c>
      <c r="AC39" s="5">
        <v>2.12</v>
      </c>
      <c r="AD39" s="19"/>
      <c r="AE39" s="20"/>
      <c r="AF39" s="20"/>
      <c r="AG39" s="20"/>
      <c r="AH39" s="20"/>
    </row>
    <row r="40" spans="1:34" x14ac:dyDescent="0.4">
      <c r="A40" s="3"/>
      <c r="C40" s="2">
        <v>-7</v>
      </c>
      <c r="D40" s="2"/>
      <c r="E40" s="5"/>
      <c r="F40" s="5"/>
      <c r="G40" s="5">
        <v>12</v>
      </c>
      <c r="H40" s="5">
        <v>4</v>
      </c>
      <c r="I40" s="5"/>
      <c r="J40" s="5"/>
      <c r="K40" s="5">
        <v>3</v>
      </c>
      <c r="L40" s="17"/>
      <c r="M40" s="6">
        <v>75</v>
      </c>
      <c r="N40" s="19"/>
      <c r="O40" s="13">
        <v>-7</v>
      </c>
      <c r="P40" s="19"/>
      <c r="Q40" s="5"/>
      <c r="R40" s="5"/>
      <c r="S40" s="5">
        <v>12</v>
      </c>
      <c r="T40" s="5">
        <v>5.53</v>
      </c>
      <c r="U40" s="5"/>
      <c r="V40" s="5"/>
      <c r="W40" s="5">
        <v>2.1699819168173597</v>
      </c>
      <c r="X40" s="19"/>
      <c r="Y40" s="5">
        <f>AA40*(1.029-(0.05*Z40/G42))</f>
        <v>2.7476849999999997</v>
      </c>
      <c r="Z40" s="5">
        <v>10.6</v>
      </c>
      <c r="AA40" s="5">
        <v>2.79</v>
      </c>
      <c r="AB40" s="5">
        <v>10.6</v>
      </c>
      <c r="AC40" s="5">
        <v>2.2200000000000002</v>
      </c>
      <c r="AD40" s="19"/>
      <c r="AE40" s="19"/>
      <c r="AF40" s="19"/>
      <c r="AG40" s="19"/>
      <c r="AH40" s="20"/>
    </row>
    <row r="41" spans="1:34" x14ac:dyDescent="0.4">
      <c r="A41" s="3"/>
      <c r="C41" s="2">
        <v>2</v>
      </c>
      <c r="D41" s="2"/>
      <c r="E41" s="5"/>
      <c r="F41" s="5"/>
      <c r="G41" s="5">
        <v>12</v>
      </c>
      <c r="H41" s="5">
        <v>3.39</v>
      </c>
      <c r="I41" s="5"/>
      <c r="J41" s="5"/>
      <c r="K41" s="5">
        <v>3.5398230088495577</v>
      </c>
      <c r="L41" s="17"/>
      <c r="M41" s="6">
        <v>75</v>
      </c>
      <c r="N41" s="19"/>
      <c r="O41" s="13">
        <v>2</v>
      </c>
      <c r="P41" s="19"/>
      <c r="Q41" s="5"/>
      <c r="R41" s="5"/>
      <c r="S41" s="5">
        <v>12</v>
      </c>
      <c r="T41" s="5">
        <v>4.95</v>
      </c>
      <c r="U41" s="5"/>
      <c r="V41" s="5"/>
      <c r="W41" s="5">
        <v>2.4242424242424243</v>
      </c>
      <c r="X41" s="19"/>
      <c r="Y41" s="5">
        <f>AA41*(0.906-(0.044*Z41/G42))</f>
        <v>4.1020750000000001</v>
      </c>
      <c r="Z41" s="5">
        <v>6.5</v>
      </c>
      <c r="AA41" s="5">
        <v>4.6500000000000004</v>
      </c>
      <c r="AB41" s="5">
        <v>6.5</v>
      </c>
      <c r="AC41" s="5">
        <v>3.65</v>
      </c>
      <c r="AD41" s="19"/>
      <c r="AE41" s="19"/>
      <c r="AF41" s="19"/>
      <c r="AG41" s="19"/>
      <c r="AH41" s="20"/>
    </row>
    <row r="42" spans="1:34" x14ac:dyDescent="0.4">
      <c r="A42" s="3"/>
      <c r="C42" s="2">
        <v>7</v>
      </c>
      <c r="D42" s="2"/>
      <c r="E42" s="5"/>
      <c r="F42" s="5"/>
      <c r="G42" s="5">
        <v>12</v>
      </c>
      <c r="H42" s="5">
        <v>2.37</v>
      </c>
      <c r="I42" s="5"/>
      <c r="J42" s="5"/>
      <c r="K42" s="5">
        <v>5.0632911392405067</v>
      </c>
      <c r="L42" s="17"/>
      <c r="M42" s="6">
        <v>75</v>
      </c>
      <c r="N42" s="19"/>
      <c r="O42" s="13">
        <v>7</v>
      </c>
      <c r="P42" s="19"/>
      <c r="Q42" s="5"/>
      <c r="R42" s="5"/>
      <c r="S42" s="5">
        <v>12</v>
      </c>
      <c r="T42" s="5">
        <v>3.71</v>
      </c>
      <c r="U42" s="5"/>
      <c r="V42" s="5"/>
      <c r="W42" s="5">
        <v>3.2345013477088949</v>
      </c>
      <c r="X42" s="19"/>
      <c r="Y42" s="5">
        <f>K42</f>
        <v>5.0632911392405067</v>
      </c>
      <c r="Z42" s="5">
        <v>5.3</v>
      </c>
      <c r="AA42" s="5">
        <v>6.25</v>
      </c>
      <c r="AB42" s="5">
        <v>4.9000000000000004</v>
      </c>
      <c r="AC42" s="5">
        <v>4.57</v>
      </c>
      <c r="AD42" s="19"/>
      <c r="AE42" s="19"/>
      <c r="AF42" s="19"/>
      <c r="AG42" s="19"/>
      <c r="AH42" s="20"/>
    </row>
    <row r="43" spans="1:34" x14ac:dyDescent="0.4">
      <c r="A43" s="3"/>
      <c r="C43" s="2">
        <v>12</v>
      </c>
      <c r="D43" s="2"/>
      <c r="E43" s="5"/>
      <c r="F43" s="5"/>
      <c r="G43" s="29" t="s">
        <v>61</v>
      </c>
      <c r="H43" s="29" t="s">
        <v>61</v>
      </c>
      <c r="I43" s="5"/>
      <c r="J43" s="5"/>
      <c r="K43" s="29" t="s">
        <v>61</v>
      </c>
      <c r="L43" s="17"/>
      <c r="M43" s="6">
        <v>75</v>
      </c>
      <c r="N43" s="19"/>
      <c r="O43" s="13">
        <v>12</v>
      </c>
      <c r="P43" s="19"/>
      <c r="Q43" s="5"/>
      <c r="R43" s="5"/>
      <c r="S43" s="29" t="s">
        <v>61</v>
      </c>
      <c r="T43" s="29" t="s">
        <v>61</v>
      </c>
      <c r="U43" s="5"/>
      <c r="V43" s="5"/>
      <c r="W43" s="29" t="s">
        <v>61</v>
      </c>
      <c r="X43" s="19"/>
      <c r="Y43" s="17"/>
      <c r="Z43" s="5">
        <v>6.1</v>
      </c>
      <c r="AA43" s="5">
        <v>7.78</v>
      </c>
      <c r="AB43" s="5">
        <v>5.7</v>
      </c>
      <c r="AC43" s="5">
        <v>5.84</v>
      </c>
      <c r="AD43" s="19"/>
      <c r="AE43" s="19"/>
      <c r="AF43" s="19"/>
      <c r="AG43" s="19"/>
      <c r="AH43" s="20"/>
    </row>
    <row r="44" spans="1:34" x14ac:dyDescent="0.4">
      <c r="A44" s="8"/>
      <c r="B44" s="8"/>
      <c r="C44" s="9"/>
      <c r="D44" s="9"/>
      <c r="E44" s="18"/>
      <c r="F44" s="18"/>
      <c r="G44" s="22"/>
      <c r="H44" s="22"/>
      <c r="I44" s="22"/>
      <c r="J44" s="22"/>
      <c r="K44" s="22"/>
      <c r="L44" s="18"/>
      <c r="M44" s="18"/>
      <c r="N44" s="18"/>
      <c r="O44" s="18"/>
      <c r="P44" s="18"/>
      <c r="Q44" s="18"/>
      <c r="R44" s="22"/>
      <c r="S44" s="22"/>
      <c r="T44" s="22"/>
      <c r="U44" s="22"/>
      <c r="V44" s="22"/>
      <c r="W44" s="22"/>
      <c r="X44" s="18"/>
      <c r="Y44" s="22"/>
      <c r="Z44" s="22"/>
      <c r="AA44" s="22"/>
      <c r="AB44" s="22"/>
      <c r="AC44" s="22"/>
      <c r="AD44" s="18"/>
      <c r="AE44" s="18"/>
      <c r="AF44" s="18"/>
      <c r="AG44" s="18"/>
      <c r="AH44" s="18"/>
    </row>
    <row r="45" spans="1:34" x14ac:dyDescent="0.4">
      <c r="A45" s="3" t="s">
        <v>112</v>
      </c>
      <c r="B45" s="1" t="s">
        <v>66</v>
      </c>
      <c r="C45" s="4">
        <v>-28</v>
      </c>
      <c r="D45" s="2"/>
      <c r="E45" s="5"/>
      <c r="F45" s="5"/>
      <c r="G45" s="5"/>
      <c r="H45" s="5"/>
      <c r="I45" s="5"/>
      <c r="J45" s="5"/>
      <c r="K45" s="5"/>
      <c r="L45" s="17"/>
      <c r="M45" s="6">
        <v>55</v>
      </c>
      <c r="N45" s="19"/>
      <c r="O45" s="4">
        <v>-28</v>
      </c>
      <c r="P45" s="19"/>
      <c r="Q45" s="5"/>
      <c r="R45" s="5"/>
      <c r="S45" s="5"/>
      <c r="T45" s="5"/>
      <c r="U45" s="5"/>
      <c r="V45" s="5"/>
      <c r="W45" s="5"/>
      <c r="X45" s="4">
        <v>9</v>
      </c>
      <c r="Y45" s="17"/>
      <c r="Z45" s="5"/>
      <c r="AA45" s="5"/>
      <c r="AB45" s="5"/>
      <c r="AC45" s="5"/>
      <c r="AD45" s="19"/>
      <c r="AE45" s="19" t="s">
        <v>37</v>
      </c>
      <c r="AF45" s="7">
        <v>14.5</v>
      </c>
      <c r="AG45" s="7">
        <v>5.05</v>
      </c>
      <c r="AH45" s="7">
        <f>AF45/AG45</f>
        <v>2.8712871287128712</v>
      </c>
    </row>
    <row r="46" spans="1:34" x14ac:dyDescent="0.4">
      <c r="A46" s="3"/>
      <c r="C46" s="13">
        <v>-25</v>
      </c>
      <c r="D46" s="2"/>
      <c r="E46" s="5"/>
      <c r="F46" s="5"/>
      <c r="G46" s="5">
        <v>14.2</v>
      </c>
      <c r="H46" s="5">
        <v>7.8</v>
      </c>
      <c r="I46" s="5"/>
      <c r="J46" s="5"/>
      <c r="K46" s="5">
        <v>1.8205128205128205</v>
      </c>
      <c r="L46" s="17"/>
      <c r="M46" s="6">
        <v>55</v>
      </c>
      <c r="N46" s="19"/>
      <c r="O46" s="13">
        <v>-25</v>
      </c>
      <c r="P46" s="19"/>
      <c r="Q46" s="5"/>
      <c r="R46" s="5"/>
      <c r="S46" s="5">
        <v>14</v>
      </c>
      <c r="T46" s="5">
        <v>10.53</v>
      </c>
      <c r="U46" s="5"/>
      <c r="V46" s="5"/>
      <c r="W46" s="5">
        <v>1.3295346628679963</v>
      </c>
      <c r="X46" s="19"/>
      <c r="Y46" s="17"/>
      <c r="Z46" s="5"/>
      <c r="AA46" s="5"/>
      <c r="AB46" s="5"/>
      <c r="AC46" s="5"/>
      <c r="AD46" s="19"/>
      <c r="AE46" s="19"/>
      <c r="AF46" s="7"/>
      <c r="AG46" s="7"/>
      <c r="AH46" s="7"/>
    </row>
    <row r="47" spans="1:34" x14ac:dyDescent="0.4">
      <c r="A47" s="46"/>
      <c r="C47" s="13">
        <v>-20</v>
      </c>
      <c r="D47" s="2"/>
      <c r="E47" s="5"/>
      <c r="F47" s="5"/>
      <c r="G47" s="5">
        <v>14.2</v>
      </c>
      <c r="H47" s="5">
        <v>6.1</v>
      </c>
      <c r="I47" s="5"/>
      <c r="J47" s="5"/>
      <c r="K47" s="5">
        <v>2.3278688524590163</v>
      </c>
      <c r="L47" s="17"/>
      <c r="M47" s="6">
        <v>65</v>
      </c>
      <c r="N47" s="19"/>
      <c r="O47" s="13">
        <v>-20</v>
      </c>
      <c r="P47" s="19"/>
      <c r="Q47" s="5"/>
      <c r="R47" s="5"/>
      <c r="S47" s="5">
        <v>14.2</v>
      </c>
      <c r="T47" s="5">
        <v>8.1</v>
      </c>
      <c r="U47" s="5"/>
      <c r="V47" s="5"/>
      <c r="W47" s="5">
        <v>1.7530864197530864</v>
      </c>
      <c r="X47" s="19"/>
      <c r="Y47" s="17"/>
      <c r="Z47" s="5"/>
      <c r="AA47" s="5"/>
      <c r="AB47" s="5"/>
      <c r="AC47" s="5"/>
      <c r="AD47" s="19"/>
      <c r="AE47" s="19" t="s">
        <v>38</v>
      </c>
      <c r="AF47" s="7">
        <v>15.5</v>
      </c>
      <c r="AG47" s="7">
        <v>4.5</v>
      </c>
      <c r="AH47" s="7">
        <f>AF47/AG47</f>
        <v>3.4444444444444446</v>
      </c>
    </row>
    <row r="48" spans="1:34" x14ac:dyDescent="0.4">
      <c r="A48" s="3"/>
      <c r="C48" s="2">
        <v>-15</v>
      </c>
      <c r="D48" s="2"/>
      <c r="E48" s="5"/>
      <c r="F48" s="5"/>
      <c r="G48" s="5">
        <v>16</v>
      </c>
      <c r="H48" s="5">
        <v>6.7</v>
      </c>
      <c r="I48" s="5"/>
      <c r="J48" s="5"/>
      <c r="K48" s="5">
        <v>2.3880597014925371</v>
      </c>
      <c r="L48" s="17"/>
      <c r="M48" s="6">
        <v>75</v>
      </c>
      <c r="N48" s="19"/>
      <c r="O48" s="13">
        <v>-15</v>
      </c>
      <c r="P48" s="19"/>
      <c r="Q48" s="5"/>
      <c r="R48" s="5"/>
      <c r="S48" s="5">
        <v>16</v>
      </c>
      <c r="T48" s="5">
        <v>8.6999999999999993</v>
      </c>
      <c r="U48" s="5"/>
      <c r="V48" s="5"/>
      <c r="W48" s="5">
        <v>1.8390804597701149</v>
      </c>
      <c r="X48" s="19"/>
      <c r="Y48" s="17"/>
      <c r="Z48" s="5"/>
      <c r="AA48" s="5"/>
      <c r="AB48" s="5"/>
      <c r="AC48" s="5"/>
      <c r="AD48" s="19"/>
      <c r="AE48" s="19" t="s">
        <v>40</v>
      </c>
      <c r="AF48" s="7">
        <v>15.5</v>
      </c>
      <c r="AG48" s="7">
        <v>3.95</v>
      </c>
      <c r="AH48" s="7">
        <f>AF48/AG48</f>
        <v>3.9240506329113924</v>
      </c>
    </row>
    <row r="49" spans="1:34" x14ac:dyDescent="0.4">
      <c r="A49" s="3"/>
      <c r="C49" s="2">
        <v>-10</v>
      </c>
      <c r="D49" s="2"/>
      <c r="E49" s="5"/>
      <c r="F49" s="5"/>
      <c r="G49" s="29" t="s">
        <v>61</v>
      </c>
      <c r="H49" s="29" t="s">
        <v>61</v>
      </c>
      <c r="I49" s="5"/>
      <c r="J49" s="5"/>
      <c r="K49" s="29" t="s">
        <v>61</v>
      </c>
      <c r="L49" s="17"/>
      <c r="M49" s="6">
        <v>75</v>
      </c>
      <c r="N49" s="19"/>
      <c r="O49" s="13">
        <v>-10</v>
      </c>
      <c r="P49" s="19"/>
      <c r="Q49" s="5"/>
      <c r="R49" s="5"/>
      <c r="S49" s="29" t="s">
        <v>61</v>
      </c>
      <c r="T49" s="29" t="s">
        <v>61</v>
      </c>
      <c r="U49" s="5"/>
      <c r="V49" s="5"/>
      <c r="W49" s="29" t="s">
        <v>61</v>
      </c>
      <c r="X49" s="19"/>
      <c r="Y49" s="17" t="s">
        <v>39</v>
      </c>
      <c r="Z49" s="5">
        <v>16</v>
      </c>
      <c r="AA49" s="5">
        <v>2.72</v>
      </c>
      <c r="AB49" s="5">
        <v>16</v>
      </c>
      <c r="AC49" s="5">
        <v>2.04</v>
      </c>
      <c r="AD49" s="19"/>
      <c r="AE49" s="20"/>
      <c r="AF49" s="20"/>
      <c r="AG49" s="20"/>
      <c r="AH49" s="20"/>
    </row>
    <row r="50" spans="1:34" x14ac:dyDescent="0.4">
      <c r="A50" s="3"/>
      <c r="C50" s="2">
        <v>-7</v>
      </c>
      <c r="D50" s="2"/>
      <c r="E50" s="5"/>
      <c r="F50" s="5"/>
      <c r="G50" s="5">
        <v>16</v>
      </c>
      <c r="H50" s="5">
        <v>6.32</v>
      </c>
      <c r="I50" s="5"/>
      <c r="J50" s="5"/>
      <c r="K50" s="5">
        <v>2.5316455696202533</v>
      </c>
      <c r="L50" s="17"/>
      <c r="M50" s="6">
        <v>75</v>
      </c>
      <c r="N50" s="19"/>
      <c r="O50" s="13">
        <v>-7</v>
      </c>
      <c r="P50" s="19"/>
      <c r="Q50" s="5"/>
      <c r="R50" s="5"/>
      <c r="S50" s="5">
        <v>16</v>
      </c>
      <c r="T50" s="5">
        <v>8.1199999999999992</v>
      </c>
      <c r="U50" s="5"/>
      <c r="V50" s="5"/>
      <c r="W50" s="5">
        <v>1.9704433497536946</v>
      </c>
      <c r="X50" s="19"/>
      <c r="Y50" s="5">
        <f>AA50*(1.029-(0.05*Z50/G52))</f>
        <v>2.8357199999999994</v>
      </c>
      <c r="Z50" s="5">
        <v>14.2</v>
      </c>
      <c r="AA50" s="5">
        <v>2.88</v>
      </c>
      <c r="AB50" s="5">
        <v>14.2</v>
      </c>
      <c r="AC50" s="5">
        <v>2.2200000000000002</v>
      </c>
      <c r="AD50" s="19"/>
      <c r="AE50" s="19"/>
      <c r="AF50" s="19"/>
      <c r="AG50" s="19"/>
      <c r="AH50" s="20"/>
    </row>
    <row r="51" spans="1:34" x14ac:dyDescent="0.4">
      <c r="A51" s="3"/>
      <c r="C51" s="2">
        <v>2</v>
      </c>
      <c r="D51" s="2"/>
      <c r="E51" s="5"/>
      <c r="F51" s="5"/>
      <c r="G51" s="5">
        <v>16</v>
      </c>
      <c r="H51" s="5">
        <v>4.8499999999999996</v>
      </c>
      <c r="I51" s="5"/>
      <c r="J51" s="5"/>
      <c r="K51" s="5">
        <v>3.2989690721649483</v>
      </c>
      <c r="L51" s="17"/>
      <c r="M51" s="6">
        <v>75</v>
      </c>
      <c r="N51" s="19"/>
      <c r="O51" s="13">
        <v>2</v>
      </c>
      <c r="P51" s="19"/>
      <c r="Q51" s="5"/>
      <c r="R51" s="5"/>
      <c r="S51" s="5">
        <v>16</v>
      </c>
      <c r="T51" s="5">
        <v>6.75</v>
      </c>
      <c r="U51" s="5"/>
      <c r="V51" s="5"/>
      <c r="W51" s="5">
        <v>2.3703703703703702</v>
      </c>
      <c r="X51" s="19"/>
      <c r="Y51" s="5">
        <f>AA51*(0.906-(0.044*Z51/G52))</f>
        <v>4.0499865000000002</v>
      </c>
      <c r="Z51" s="5">
        <v>8.6</v>
      </c>
      <c r="AA51" s="5">
        <v>4.59</v>
      </c>
      <c r="AB51" s="5">
        <v>8.6</v>
      </c>
      <c r="AC51" s="5">
        <v>3.66</v>
      </c>
      <c r="AD51" s="19"/>
      <c r="AE51" s="19"/>
      <c r="AF51" s="19"/>
      <c r="AG51" s="19"/>
      <c r="AH51" s="20"/>
    </row>
    <row r="52" spans="1:34" x14ac:dyDescent="0.4">
      <c r="A52" s="3"/>
      <c r="C52" s="2">
        <v>7</v>
      </c>
      <c r="D52" s="2"/>
      <c r="E52" s="5"/>
      <c r="F52" s="5"/>
      <c r="G52" s="5">
        <v>16</v>
      </c>
      <c r="H52" s="5">
        <v>3.27</v>
      </c>
      <c r="I52" s="5"/>
      <c r="J52" s="5"/>
      <c r="K52" s="5">
        <v>4.8929663608562688</v>
      </c>
      <c r="L52" s="17"/>
      <c r="M52" s="6">
        <v>75</v>
      </c>
      <c r="N52" s="19"/>
      <c r="O52" s="13">
        <v>7</v>
      </c>
      <c r="P52" s="19"/>
      <c r="Q52" s="5"/>
      <c r="R52" s="5"/>
      <c r="S52" s="5">
        <v>16</v>
      </c>
      <c r="T52" s="5">
        <v>5</v>
      </c>
      <c r="U52" s="5"/>
      <c r="V52" s="5"/>
      <c r="W52" s="5">
        <v>3.2</v>
      </c>
      <c r="X52" s="19"/>
      <c r="Y52" s="5">
        <f>K52</f>
        <v>4.8929663608562688</v>
      </c>
      <c r="Z52" s="5">
        <v>5.5</v>
      </c>
      <c r="AA52" s="5">
        <v>6.33</v>
      </c>
      <c r="AB52" s="5">
        <v>5.5</v>
      </c>
      <c r="AC52" s="5">
        <v>4.8099999999999996</v>
      </c>
      <c r="AD52" s="19"/>
      <c r="AE52" s="19"/>
      <c r="AF52" s="19"/>
      <c r="AG52" s="19"/>
      <c r="AH52" s="20"/>
    </row>
    <row r="53" spans="1:34" x14ac:dyDescent="0.4">
      <c r="A53" s="3"/>
      <c r="C53" s="2">
        <v>12</v>
      </c>
      <c r="D53" s="2"/>
      <c r="E53" s="5"/>
      <c r="F53" s="5"/>
      <c r="G53" s="29" t="s">
        <v>61</v>
      </c>
      <c r="H53" s="29" t="s">
        <v>61</v>
      </c>
      <c r="I53" s="5"/>
      <c r="J53" s="5"/>
      <c r="K53" s="29" t="s">
        <v>61</v>
      </c>
      <c r="L53" s="17"/>
      <c r="M53" s="6">
        <v>75</v>
      </c>
      <c r="N53" s="19"/>
      <c r="O53" s="13">
        <v>12</v>
      </c>
      <c r="P53" s="19"/>
      <c r="Q53" s="5"/>
      <c r="R53" s="5"/>
      <c r="S53" s="29" t="s">
        <v>61</v>
      </c>
      <c r="T53" s="29" t="s">
        <v>61</v>
      </c>
      <c r="U53" s="5"/>
      <c r="V53" s="5"/>
      <c r="W53" s="29" t="s">
        <v>61</v>
      </c>
      <c r="X53" s="19"/>
      <c r="Y53" s="17"/>
      <c r="Z53" s="5">
        <v>5.8</v>
      </c>
      <c r="AA53" s="5">
        <v>7.83</v>
      </c>
      <c r="AB53" s="5">
        <v>5.5</v>
      </c>
      <c r="AC53" s="5">
        <v>5.78</v>
      </c>
      <c r="AD53" s="19"/>
      <c r="AE53" s="19"/>
      <c r="AF53" s="19"/>
      <c r="AG53" s="19"/>
      <c r="AH53" s="20"/>
    </row>
    <row r="54" spans="1:34" x14ac:dyDescent="0.4">
      <c r="A54" s="8"/>
      <c r="B54" s="8"/>
      <c r="C54" s="9"/>
      <c r="D54" s="9"/>
      <c r="E54" s="18"/>
      <c r="F54" s="18"/>
      <c r="G54" s="22"/>
      <c r="H54" s="22"/>
      <c r="I54" s="22"/>
      <c r="J54" s="22"/>
      <c r="K54" s="22"/>
      <c r="L54" s="18"/>
      <c r="M54" s="18"/>
      <c r="N54" s="18"/>
      <c r="O54" s="18"/>
      <c r="P54" s="18"/>
      <c r="Q54" s="18"/>
      <c r="R54" s="22"/>
      <c r="S54" s="22"/>
      <c r="T54" s="22"/>
      <c r="U54" s="22"/>
      <c r="V54" s="22"/>
      <c r="W54" s="22"/>
      <c r="X54" s="18"/>
      <c r="Y54" s="22"/>
      <c r="Z54" s="22"/>
      <c r="AA54" s="22"/>
      <c r="AB54" s="22"/>
      <c r="AC54" s="22"/>
      <c r="AD54" s="18"/>
      <c r="AE54" s="18"/>
      <c r="AF54" s="18"/>
      <c r="AG54" s="18"/>
      <c r="AH54" s="18"/>
    </row>
    <row r="55" spans="1:34" x14ac:dyDescent="0.4">
      <c r="A55" s="3" t="s">
        <v>116</v>
      </c>
      <c r="B55" s="1" t="s">
        <v>66</v>
      </c>
      <c r="C55" s="4">
        <v>-28</v>
      </c>
      <c r="D55" s="2"/>
      <c r="E55" s="5"/>
      <c r="F55" s="5"/>
      <c r="G55" s="5"/>
      <c r="H55" s="5"/>
      <c r="I55" s="5"/>
      <c r="J55" s="5"/>
      <c r="K55" s="5"/>
      <c r="L55" s="17"/>
      <c r="M55" s="6">
        <v>55</v>
      </c>
      <c r="N55" s="19"/>
      <c r="O55" s="4">
        <v>-28</v>
      </c>
      <c r="P55" s="19"/>
      <c r="Q55" s="5"/>
      <c r="R55" s="5"/>
      <c r="S55" s="5">
        <v>14</v>
      </c>
      <c r="T55" s="5">
        <v>10.53</v>
      </c>
      <c r="U55" s="5"/>
      <c r="V55" s="5"/>
      <c r="W55" s="5">
        <v>1.3295346628679963</v>
      </c>
      <c r="X55" s="4">
        <v>9</v>
      </c>
      <c r="Y55" s="17"/>
      <c r="Z55" s="5"/>
      <c r="AA55" s="5"/>
      <c r="AB55" s="5"/>
      <c r="AC55" s="5"/>
      <c r="AD55" s="19"/>
      <c r="AE55" s="19" t="s">
        <v>37</v>
      </c>
      <c r="AF55" s="7">
        <v>14.5</v>
      </c>
      <c r="AG55" s="7">
        <v>5.05</v>
      </c>
      <c r="AH55" s="7">
        <f>AF55/AG55</f>
        <v>2.8712871287128712</v>
      </c>
    </row>
    <row r="56" spans="1:34" x14ac:dyDescent="0.4">
      <c r="A56" s="3"/>
      <c r="C56" s="13">
        <v>-25</v>
      </c>
      <c r="D56" s="2"/>
      <c r="E56" s="5"/>
      <c r="F56" s="5"/>
      <c r="G56" s="5">
        <v>14.2</v>
      </c>
      <c r="H56" s="5">
        <v>7.8</v>
      </c>
      <c r="I56" s="5"/>
      <c r="J56" s="5"/>
      <c r="K56" s="5">
        <v>1.8205128205128205</v>
      </c>
      <c r="L56" s="17"/>
      <c r="M56" s="6">
        <v>55</v>
      </c>
      <c r="N56" s="19"/>
      <c r="O56" s="13">
        <v>-25</v>
      </c>
      <c r="P56" s="19"/>
      <c r="Q56" s="5"/>
      <c r="R56" s="5"/>
      <c r="S56" s="5"/>
      <c r="T56" s="5"/>
      <c r="U56" s="5"/>
      <c r="V56" s="5"/>
      <c r="W56" s="5"/>
      <c r="X56" s="19"/>
      <c r="Y56" s="17"/>
      <c r="Z56" s="5"/>
      <c r="AA56" s="5"/>
      <c r="AB56" s="5"/>
      <c r="AC56" s="5"/>
      <c r="AD56" s="19"/>
      <c r="AE56" s="19"/>
      <c r="AF56" s="7"/>
      <c r="AG56" s="7"/>
      <c r="AH56" s="7"/>
    </row>
    <row r="57" spans="1:34" x14ac:dyDescent="0.4">
      <c r="A57" s="46"/>
      <c r="C57" s="13">
        <v>-20</v>
      </c>
      <c r="D57" s="2"/>
      <c r="E57" s="5"/>
      <c r="F57" s="5"/>
      <c r="G57" s="5">
        <v>14.2</v>
      </c>
      <c r="H57" s="5">
        <v>6.1</v>
      </c>
      <c r="I57" s="5"/>
      <c r="J57" s="5"/>
      <c r="K57" s="5">
        <v>2.3278688524590163</v>
      </c>
      <c r="L57" s="17"/>
      <c r="M57" s="6">
        <v>65</v>
      </c>
      <c r="N57" s="19"/>
      <c r="O57" s="13">
        <v>-20</v>
      </c>
      <c r="P57" s="19"/>
      <c r="Q57" s="5"/>
      <c r="R57" s="5"/>
      <c r="S57" s="5">
        <v>14.2</v>
      </c>
      <c r="T57" s="5">
        <v>8.1</v>
      </c>
      <c r="U57" s="5"/>
      <c r="V57" s="5"/>
      <c r="W57" s="5">
        <v>1.7530864197530864</v>
      </c>
      <c r="X57" s="19"/>
      <c r="Y57" s="17"/>
      <c r="Z57" s="5"/>
      <c r="AA57" s="5"/>
      <c r="AB57" s="5"/>
      <c r="AC57" s="5"/>
      <c r="AD57" s="19"/>
      <c r="AE57" s="19" t="s">
        <v>38</v>
      </c>
      <c r="AF57" s="7">
        <v>15.5</v>
      </c>
      <c r="AG57" s="7">
        <v>4.5</v>
      </c>
      <c r="AH57" s="7">
        <f>AF57/AG57</f>
        <v>3.4444444444444446</v>
      </c>
    </row>
    <row r="58" spans="1:34" x14ac:dyDescent="0.4">
      <c r="A58" s="3"/>
      <c r="C58" s="2">
        <v>-15</v>
      </c>
      <c r="D58" s="2"/>
      <c r="E58" s="5"/>
      <c r="F58" s="5"/>
      <c r="G58" s="5">
        <v>16</v>
      </c>
      <c r="H58" s="5">
        <v>6.7</v>
      </c>
      <c r="I58" s="5"/>
      <c r="J58" s="5"/>
      <c r="K58" s="5">
        <v>2.3880597014925371</v>
      </c>
      <c r="L58" s="17"/>
      <c r="M58" s="6">
        <v>75</v>
      </c>
      <c r="N58" s="19"/>
      <c r="O58" s="13">
        <v>-15</v>
      </c>
      <c r="P58" s="19"/>
      <c r="Q58" s="5"/>
      <c r="R58" s="5"/>
      <c r="S58" s="5">
        <v>16</v>
      </c>
      <c r="T58" s="5">
        <v>8.6999999999999993</v>
      </c>
      <c r="U58" s="5"/>
      <c r="V58" s="5"/>
      <c r="W58" s="5">
        <v>1.8390804597701149</v>
      </c>
      <c r="X58" s="19"/>
      <c r="Y58" s="17"/>
      <c r="Z58" s="5"/>
      <c r="AA58" s="5"/>
      <c r="AB58" s="5"/>
      <c r="AC58" s="5"/>
      <c r="AD58" s="19"/>
      <c r="AE58" s="19" t="s">
        <v>40</v>
      </c>
      <c r="AF58" s="7">
        <v>15.5</v>
      </c>
      <c r="AG58" s="7">
        <v>3.95</v>
      </c>
      <c r="AH58" s="7">
        <f>AF58/AG58</f>
        <v>3.9240506329113924</v>
      </c>
    </row>
    <row r="59" spans="1:34" x14ac:dyDescent="0.4">
      <c r="A59" s="3"/>
      <c r="C59" s="2">
        <v>-10</v>
      </c>
      <c r="D59" s="2"/>
      <c r="E59" s="5"/>
      <c r="F59" s="5"/>
      <c r="G59" s="29" t="s">
        <v>61</v>
      </c>
      <c r="H59" s="29" t="s">
        <v>61</v>
      </c>
      <c r="I59" s="5"/>
      <c r="J59" s="5"/>
      <c r="K59" s="29" t="s">
        <v>61</v>
      </c>
      <c r="L59" s="17"/>
      <c r="M59" s="6">
        <v>75</v>
      </c>
      <c r="N59" s="19"/>
      <c r="O59" s="13">
        <v>-10</v>
      </c>
      <c r="P59" s="19"/>
      <c r="Q59" s="5"/>
      <c r="R59" s="5"/>
      <c r="S59" s="29" t="s">
        <v>61</v>
      </c>
      <c r="T59" s="29" t="s">
        <v>61</v>
      </c>
      <c r="U59" s="5"/>
      <c r="V59" s="5"/>
      <c r="W59" s="29" t="s">
        <v>61</v>
      </c>
      <c r="X59" s="19"/>
      <c r="Y59" s="17" t="s">
        <v>39</v>
      </c>
      <c r="Z59" s="5">
        <v>16</v>
      </c>
      <c r="AA59" s="5">
        <v>2.72</v>
      </c>
      <c r="AB59" s="5">
        <v>16</v>
      </c>
      <c r="AC59" s="5">
        <v>2.04</v>
      </c>
      <c r="AD59" s="19"/>
      <c r="AE59" s="20"/>
      <c r="AF59" s="20"/>
      <c r="AG59" s="20"/>
      <c r="AH59" s="20"/>
    </row>
    <row r="60" spans="1:34" x14ac:dyDescent="0.4">
      <c r="A60" s="3"/>
      <c r="C60" s="2">
        <v>-7</v>
      </c>
      <c r="D60" s="2"/>
      <c r="E60" s="5"/>
      <c r="F60" s="5"/>
      <c r="G60" s="5">
        <v>16</v>
      </c>
      <c r="H60" s="5">
        <v>6.32</v>
      </c>
      <c r="I60" s="5"/>
      <c r="J60" s="5"/>
      <c r="K60" s="5">
        <v>2.5316455696202533</v>
      </c>
      <c r="L60" s="17"/>
      <c r="M60" s="6">
        <v>75</v>
      </c>
      <c r="N60" s="19"/>
      <c r="O60" s="13">
        <v>-7</v>
      </c>
      <c r="P60" s="19"/>
      <c r="Q60" s="5"/>
      <c r="R60" s="5"/>
      <c r="S60" s="5">
        <v>16</v>
      </c>
      <c r="T60" s="5">
        <v>8.1199999999999992</v>
      </c>
      <c r="U60" s="5"/>
      <c r="V60" s="5"/>
      <c r="W60" s="5">
        <v>1.9704433497536946</v>
      </c>
      <c r="X60" s="19"/>
      <c r="Y60" s="5">
        <f>AA60*(1.029-(0.05*Z60/G62))</f>
        <v>2.8357199999999994</v>
      </c>
      <c r="Z60" s="5">
        <v>14.2</v>
      </c>
      <c r="AA60" s="5">
        <v>2.88</v>
      </c>
      <c r="AB60" s="5">
        <v>14.2</v>
      </c>
      <c r="AC60" s="5">
        <v>2.2200000000000002</v>
      </c>
      <c r="AD60" s="19"/>
      <c r="AE60" s="19"/>
      <c r="AF60" s="19"/>
      <c r="AG60" s="19"/>
      <c r="AH60" s="20"/>
    </row>
    <row r="61" spans="1:34" x14ac:dyDescent="0.4">
      <c r="A61" s="3"/>
      <c r="C61" s="2">
        <v>2</v>
      </c>
      <c r="D61" s="2"/>
      <c r="E61" s="5"/>
      <c r="F61" s="5"/>
      <c r="G61" s="5">
        <v>16</v>
      </c>
      <c r="H61" s="5">
        <v>4.8499999999999996</v>
      </c>
      <c r="I61" s="5"/>
      <c r="J61" s="5"/>
      <c r="K61" s="5">
        <v>3.2989690721649483</v>
      </c>
      <c r="L61" s="17"/>
      <c r="M61" s="6">
        <v>75</v>
      </c>
      <c r="N61" s="19"/>
      <c r="O61" s="13">
        <v>2</v>
      </c>
      <c r="P61" s="19"/>
      <c r="Q61" s="5"/>
      <c r="R61" s="5"/>
      <c r="S61" s="5">
        <v>16</v>
      </c>
      <c r="T61" s="5">
        <v>6.75</v>
      </c>
      <c r="U61" s="5"/>
      <c r="V61" s="5"/>
      <c r="W61" s="5">
        <v>2.3703703703703702</v>
      </c>
      <c r="X61" s="19"/>
      <c r="Y61" s="5">
        <f>AA61*(0.906-(0.044*Z61/G62))</f>
        <v>4.0499865000000002</v>
      </c>
      <c r="Z61" s="5">
        <v>8.6</v>
      </c>
      <c r="AA61" s="5">
        <v>4.59</v>
      </c>
      <c r="AB61" s="5">
        <v>8.6</v>
      </c>
      <c r="AC61" s="5">
        <v>3.66</v>
      </c>
      <c r="AD61" s="19"/>
      <c r="AE61" s="19"/>
      <c r="AF61" s="19"/>
      <c r="AG61" s="19"/>
      <c r="AH61" s="20"/>
    </row>
    <row r="62" spans="1:34" x14ac:dyDescent="0.4">
      <c r="A62" s="3"/>
      <c r="C62" s="2">
        <v>7</v>
      </c>
      <c r="D62" s="2"/>
      <c r="E62" s="5"/>
      <c r="F62" s="5"/>
      <c r="G62" s="5">
        <v>16</v>
      </c>
      <c r="H62" s="5">
        <v>3.27</v>
      </c>
      <c r="I62" s="5"/>
      <c r="J62" s="5"/>
      <c r="K62" s="5">
        <v>4.8929663608562688</v>
      </c>
      <c r="L62" s="17"/>
      <c r="M62" s="6">
        <v>75</v>
      </c>
      <c r="N62" s="19"/>
      <c r="O62" s="13">
        <v>7</v>
      </c>
      <c r="P62" s="19"/>
      <c r="Q62" s="5"/>
      <c r="R62" s="5"/>
      <c r="S62" s="5">
        <v>16</v>
      </c>
      <c r="T62" s="5">
        <v>5</v>
      </c>
      <c r="U62" s="5"/>
      <c r="V62" s="5"/>
      <c r="W62" s="5">
        <v>3.2</v>
      </c>
      <c r="X62" s="19"/>
      <c r="Y62" s="5">
        <f>K62</f>
        <v>4.8929663608562688</v>
      </c>
      <c r="Z62" s="5">
        <v>5.5</v>
      </c>
      <c r="AA62" s="5">
        <v>6.33</v>
      </c>
      <c r="AB62" s="5">
        <v>5.5</v>
      </c>
      <c r="AC62" s="5">
        <v>4.8099999999999996</v>
      </c>
      <c r="AD62" s="19"/>
      <c r="AE62" s="19"/>
      <c r="AF62" s="19"/>
      <c r="AG62" s="19"/>
      <c r="AH62" s="20"/>
    </row>
    <row r="63" spans="1:34" x14ac:dyDescent="0.4">
      <c r="A63" s="3"/>
      <c r="C63" s="2">
        <v>12</v>
      </c>
      <c r="D63" s="2"/>
      <c r="E63" s="5"/>
      <c r="F63" s="5"/>
      <c r="G63" s="29" t="s">
        <v>61</v>
      </c>
      <c r="H63" s="29" t="s">
        <v>61</v>
      </c>
      <c r="I63" s="5"/>
      <c r="J63" s="5"/>
      <c r="K63" s="29" t="s">
        <v>61</v>
      </c>
      <c r="L63" s="17"/>
      <c r="M63" s="6">
        <v>75</v>
      </c>
      <c r="N63" s="19"/>
      <c r="O63" s="13">
        <v>12</v>
      </c>
      <c r="P63" s="19"/>
      <c r="Q63" s="5"/>
      <c r="R63" s="5"/>
      <c r="S63" s="29" t="s">
        <v>61</v>
      </c>
      <c r="T63" s="29" t="s">
        <v>61</v>
      </c>
      <c r="U63" s="5"/>
      <c r="V63" s="5"/>
      <c r="W63" s="29" t="s">
        <v>61</v>
      </c>
      <c r="X63" s="19"/>
      <c r="Y63" s="17"/>
      <c r="Z63" s="5">
        <v>5.8</v>
      </c>
      <c r="AA63" s="5">
        <v>7.83</v>
      </c>
      <c r="AB63" s="5">
        <v>5.5</v>
      </c>
      <c r="AC63" s="5">
        <v>5.78</v>
      </c>
      <c r="AD63" s="19"/>
      <c r="AE63" s="19"/>
      <c r="AF63" s="19"/>
      <c r="AG63" s="19"/>
      <c r="AH63" s="20"/>
    </row>
    <row r="64" spans="1:34" x14ac:dyDescent="0.4">
      <c r="A64" s="8"/>
      <c r="B64" s="8"/>
      <c r="C64" s="9"/>
      <c r="D64" s="9"/>
      <c r="E64" s="18"/>
      <c r="F64" s="18"/>
      <c r="G64" s="22"/>
      <c r="H64" s="22"/>
      <c r="I64" s="22"/>
      <c r="J64" s="22"/>
      <c r="K64" s="22"/>
      <c r="L64" s="18"/>
      <c r="M64" s="18"/>
      <c r="N64" s="18"/>
      <c r="O64" s="18"/>
      <c r="P64" s="18"/>
      <c r="Q64" s="18"/>
      <c r="R64" s="22"/>
      <c r="S64" s="22"/>
      <c r="T64" s="22"/>
      <c r="U64" s="22"/>
      <c r="V64" s="22"/>
      <c r="W64" s="22"/>
      <c r="X64" s="18"/>
      <c r="Y64" s="22"/>
      <c r="Z64" s="22"/>
      <c r="AA64" s="22"/>
      <c r="AB64" s="22"/>
      <c r="AC64" s="22"/>
      <c r="AD64" s="18"/>
      <c r="AE64" s="18"/>
      <c r="AF64" s="18"/>
      <c r="AG64" s="18"/>
      <c r="AH64" s="18"/>
    </row>
    <row r="65" spans="1:34" s="1" customFormat="1" x14ac:dyDescent="0.4">
      <c r="A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s="15"/>
      <c r="AG65" s="15"/>
      <c r="AH65" s="15"/>
    </row>
    <row r="66" spans="1:34" x14ac:dyDescent="0.4">
      <c r="A66" s="47" t="s">
        <v>41</v>
      </c>
    </row>
    <row r="68" spans="1:34" x14ac:dyDescent="0.4">
      <c r="A68" t="s">
        <v>113</v>
      </c>
    </row>
    <row r="69" spans="1:34" x14ac:dyDescent="0.4">
      <c r="A69" t="s">
        <v>117</v>
      </c>
    </row>
    <row r="71" spans="1:34" x14ac:dyDescent="0.4">
      <c r="A71" t="s">
        <v>114</v>
      </c>
    </row>
    <row r="72" spans="1:34" x14ac:dyDescent="0.4">
      <c r="A72" t="s">
        <v>118</v>
      </c>
    </row>
    <row r="74" spans="1:34" x14ac:dyDescent="0.4">
      <c r="A74" t="s">
        <v>115</v>
      </c>
    </row>
    <row r="75" spans="1:34" x14ac:dyDescent="0.4">
      <c r="A75" t="s">
        <v>119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A8EB-B31A-49C0-89DC-8C825AD7C82C}">
  <sheetPr>
    <tabColor rgb="FF7030A0"/>
  </sheetPr>
  <dimension ref="A1:AH51"/>
  <sheetViews>
    <sheetView zoomScaleNormal="100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B22" sqref="B22"/>
    </sheetView>
  </sheetViews>
  <sheetFormatPr baseColWidth="10" defaultColWidth="11.4609375" defaultRowHeight="14.6" x14ac:dyDescent="0.4"/>
  <cols>
    <col min="1" max="1" width="35.84375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3" t="s">
        <v>120</v>
      </c>
      <c r="B4" s="1" t="s">
        <v>122</v>
      </c>
      <c r="C4" s="4">
        <v>-28</v>
      </c>
      <c r="D4" s="2"/>
      <c r="E4" s="60"/>
      <c r="F4" s="60"/>
      <c r="G4" s="5"/>
      <c r="H4" s="5"/>
      <c r="I4" s="5"/>
      <c r="J4" s="5"/>
      <c r="K4" s="5"/>
      <c r="L4" s="17"/>
      <c r="M4" s="6">
        <v>55</v>
      </c>
      <c r="N4" s="58"/>
      <c r="O4" s="4">
        <v>-28</v>
      </c>
      <c r="P4" s="58"/>
      <c r="Q4" s="5"/>
      <c r="R4" s="5"/>
      <c r="S4" s="5"/>
      <c r="T4" s="5"/>
      <c r="U4" s="5"/>
      <c r="V4" s="5"/>
      <c r="W4" s="5"/>
      <c r="X4" s="4">
        <v>9</v>
      </c>
      <c r="Y4" s="17"/>
      <c r="Z4" s="5"/>
      <c r="AA4" s="5"/>
      <c r="AB4" s="5"/>
      <c r="AC4" s="5"/>
      <c r="AD4" s="13"/>
      <c r="AE4" s="13" t="s">
        <v>37</v>
      </c>
      <c r="AF4" s="7">
        <v>8.8000000000000007</v>
      </c>
      <c r="AG4" s="7">
        <v>2.83</v>
      </c>
      <c r="AH4" s="7">
        <f>AF4/AG4</f>
        <v>3.1095406360424032</v>
      </c>
    </row>
    <row r="5" spans="1:34" x14ac:dyDescent="0.4">
      <c r="A5"/>
      <c r="C5" s="13">
        <v>-20</v>
      </c>
      <c r="D5" s="2"/>
      <c r="E5" s="60"/>
      <c r="F5" s="60"/>
      <c r="G5" s="5">
        <v>8.8000000000000007</v>
      </c>
      <c r="H5" s="5">
        <v>4.79</v>
      </c>
      <c r="I5" s="5"/>
      <c r="J5" s="5"/>
      <c r="K5" s="5">
        <f>G5/H5</f>
        <v>1.8371607515657622</v>
      </c>
      <c r="L5" s="17"/>
      <c r="M5" s="6">
        <v>55</v>
      </c>
      <c r="N5" s="58"/>
      <c r="O5" s="13">
        <v>-20</v>
      </c>
      <c r="P5" s="58"/>
      <c r="Q5" s="5"/>
      <c r="R5" s="5"/>
      <c r="S5" s="5">
        <v>8.5500000000000007</v>
      </c>
      <c r="T5" s="5">
        <v>5.9</v>
      </c>
      <c r="U5" s="5"/>
      <c r="V5" s="5"/>
      <c r="W5" s="5">
        <f>S5/T5</f>
        <v>1.4491525423728815</v>
      </c>
      <c r="X5" s="19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4" x14ac:dyDescent="0.4">
      <c r="A6" s="3"/>
      <c r="C6" s="2">
        <v>-15</v>
      </c>
      <c r="D6" s="2"/>
      <c r="E6" s="60"/>
      <c r="F6" s="60"/>
      <c r="G6" s="5">
        <v>9</v>
      </c>
      <c r="H6" s="5">
        <v>3.45</v>
      </c>
      <c r="I6" s="5"/>
      <c r="J6" s="5"/>
      <c r="K6" s="5">
        <f>G6/H6</f>
        <v>2.6086956521739131</v>
      </c>
      <c r="L6" s="17"/>
      <c r="M6" s="6">
        <v>55</v>
      </c>
      <c r="N6" s="58"/>
      <c r="O6" s="13">
        <v>-15</v>
      </c>
      <c r="P6" s="58"/>
      <c r="Q6" s="5"/>
      <c r="R6" s="5"/>
      <c r="S6" s="5">
        <v>9</v>
      </c>
      <c r="T6" s="5">
        <v>4.95</v>
      </c>
      <c r="U6" s="5"/>
      <c r="V6" s="5"/>
      <c r="W6" s="5">
        <f>S6/T6</f>
        <v>1.8181818181818181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9.07</v>
      </c>
      <c r="AG6" s="7">
        <v>3.01</v>
      </c>
      <c r="AH6" s="7">
        <f t="shared" ref="AH6:AH7" si="0">AF6/AG6</f>
        <v>3.0132890365448506</v>
      </c>
    </row>
    <row r="7" spans="1:34" x14ac:dyDescent="0.4">
      <c r="A7" s="3"/>
      <c r="C7" s="2">
        <v>-10</v>
      </c>
      <c r="D7" s="2"/>
      <c r="E7" s="60"/>
      <c r="F7" s="60"/>
      <c r="G7" s="5"/>
      <c r="H7" s="5"/>
      <c r="I7" s="5"/>
      <c r="J7" s="5"/>
      <c r="K7" s="5"/>
      <c r="L7" s="17"/>
      <c r="M7" s="6">
        <v>60</v>
      </c>
      <c r="N7" s="58"/>
      <c r="O7" s="13">
        <v>-10</v>
      </c>
      <c r="P7" s="58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9</v>
      </c>
      <c r="AA7" s="5">
        <v>2.9</v>
      </c>
      <c r="AB7" s="5">
        <v>9</v>
      </c>
      <c r="AC7" s="5">
        <v>2.04</v>
      </c>
      <c r="AD7" s="13"/>
      <c r="AE7" s="13" t="s">
        <v>40</v>
      </c>
      <c r="AF7" s="7">
        <v>8.8000000000000007</v>
      </c>
      <c r="AG7" s="7">
        <v>1.9</v>
      </c>
      <c r="AH7" s="7">
        <f t="shared" si="0"/>
        <v>4.6315789473684212</v>
      </c>
    </row>
    <row r="8" spans="1:34" x14ac:dyDescent="0.4">
      <c r="A8" s="3"/>
      <c r="C8" s="2">
        <v>-7</v>
      </c>
      <c r="D8" s="2"/>
      <c r="E8" s="60"/>
      <c r="F8" s="60"/>
      <c r="G8" s="5">
        <v>9</v>
      </c>
      <c r="H8" s="5">
        <v>3</v>
      </c>
      <c r="I8" s="5"/>
      <c r="J8" s="5"/>
      <c r="K8" s="5">
        <f>G8/H8</f>
        <v>3</v>
      </c>
      <c r="L8" s="17"/>
      <c r="M8" s="6">
        <v>60</v>
      </c>
      <c r="N8" s="58"/>
      <c r="O8" s="13">
        <v>-7</v>
      </c>
      <c r="P8" s="58"/>
      <c r="Q8" s="5"/>
      <c r="R8" s="5"/>
      <c r="S8" s="5">
        <v>9</v>
      </c>
      <c r="T8" s="5">
        <v>4.28</v>
      </c>
      <c r="U8" s="5"/>
      <c r="V8" s="5"/>
      <c r="W8" s="5">
        <f>S8/T8</f>
        <v>2.1028037383177569</v>
      </c>
      <c r="X8" s="19"/>
      <c r="Y8" s="5">
        <f>AA8*(1.029-(0.05*Z8/G10))</f>
        <v>2.9930488888888886</v>
      </c>
      <c r="Z8" s="5">
        <v>8</v>
      </c>
      <c r="AA8" s="5">
        <v>3.04</v>
      </c>
      <c r="AB8" s="5">
        <v>8</v>
      </c>
      <c r="AC8" s="5">
        <v>2.33</v>
      </c>
      <c r="AD8" s="13"/>
      <c r="AE8" s="13"/>
      <c r="AF8" s="19"/>
      <c r="AG8" s="19"/>
      <c r="AH8" s="20"/>
    </row>
    <row r="9" spans="1:34" x14ac:dyDescent="0.4">
      <c r="A9" s="3"/>
      <c r="C9" s="2">
        <v>2</v>
      </c>
      <c r="D9" s="2"/>
      <c r="E9" s="60"/>
      <c r="F9" s="60"/>
      <c r="G9" s="5">
        <v>9</v>
      </c>
      <c r="H9" s="5">
        <v>2.44</v>
      </c>
      <c r="I9" s="5"/>
      <c r="J9" s="5"/>
      <c r="K9" s="5">
        <f>G9/H9</f>
        <v>3.6885245901639343</v>
      </c>
      <c r="L9" s="17"/>
      <c r="M9" s="6">
        <v>60</v>
      </c>
      <c r="N9" s="58"/>
      <c r="O9" s="13">
        <v>2</v>
      </c>
      <c r="P9" s="58"/>
      <c r="Q9" s="5"/>
      <c r="R9" s="5"/>
      <c r="S9" s="5">
        <v>9</v>
      </c>
      <c r="T9" s="5">
        <v>3.9</v>
      </c>
      <c r="U9" s="5"/>
      <c r="V9" s="5"/>
      <c r="W9" s="5">
        <f>S9/T9</f>
        <v>2.3076923076923079</v>
      </c>
      <c r="X9" s="19"/>
      <c r="Y9" s="5">
        <f>AA9*(0.906-(0.044*Z9/G10))</f>
        <v>4.3484791111111116</v>
      </c>
      <c r="Z9" s="5">
        <v>4.9000000000000004</v>
      </c>
      <c r="AA9" s="5">
        <v>4.93</v>
      </c>
      <c r="AB9" s="5">
        <v>4.9000000000000004</v>
      </c>
      <c r="AC9" s="5">
        <v>3.46</v>
      </c>
      <c r="AD9" s="13"/>
      <c r="AE9" s="13"/>
      <c r="AF9" s="19"/>
      <c r="AG9" s="19"/>
      <c r="AH9" s="20"/>
    </row>
    <row r="10" spans="1:34" x14ac:dyDescent="0.4">
      <c r="A10" s="3"/>
      <c r="C10" s="2">
        <v>7</v>
      </c>
      <c r="D10" s="2"/>
      <c r="E10" s="60"/>
      <c r="F10" s="60"/>
      <c r="G10" s="5">
        <v>9</v>
      </c>
      <c r="H10" s="5">
        <v>1.79</v>
      </c>
      <c r="I10" s="5"/>
      <c r="J10" s="5"/>
      <c r="K10" s="5">
        <f>G10/H10</f>
        <v>5.027932960893855</v>
      </c>
      <c r="L10" s="17"/>
      <c r="M10" s="6">
        <v>60</v>
      </c>
      <c r="N10" s="58"/>
      <c r="O10" s="13">
        <v>7</v>
      </c>
      <c r="P10" s="58"/>
      <c r="Q10" s="5"/>
      <c r="R10" s="5"/>
      <c r="S10" s="5">
        <v>9</v>
      </c>
      <c r="T10" s="5">
        <v>2.93</v>
      </c>
      <c r="U10" s="5"/>
      <c r="V10" s="5"/>
      <c r="W10" s="5">
        <f>S10/T10</f>
        <v>3.0716723549488054</v>
      </c>
      <c r="X10" s="19"/>
      <c r="Y10" s="5">
        <f>K10</f>
        <v>5.027932960893855</v>
      </c>
      <c r="Z10" s="5">
        <v>5.4</v>
      </c>
      <c r="AA10" s="5">
        <v>6.26</v>
      </c>
      <c r="AB10" s="5">
        <v>5.0999999999999996</v>
      </c>
      <c r="AC10" s="5">
        <v>4.4800000000000004</v>
      </c>
      <c r="AD10" s="13"/>
      <c r="AE10" s="13"/>
      <c r="AF10" s="19"/>
      <c r="AG10" s="19"/>
      <c r="AH10" s="20"/>
    </row>
    <row r="11" spans="1:34" x14ac:dyDescent="0.4">
      <c r="A11" s="3"/>
      <c r="C11" s="2">
        <v>12</v>
      </c>
      <c r="D11" s="2"/>
      <c r="E11" s="60"/>
      <c r="F11" s="60"/>
      <c r="G11" s="5"/>
      <c r="H11" s="5"/>
      <c r="I11" s="5"/>
      <c r="J11" s="5"/>
      <c r="K11" s="5"/>
      <c r="L11" s="17"/>
      <c r="M11" s="6">
        <v>60</v>
      </c>
      <c r="N11" s="58"/>
      <c r="O11" s="13">
        <v>12</v>
      </c>
      <c r="P11" s="58"/>
      <c r="Q11" s="5"/>
      <c r="R11" s="5"/>
      <c r="S11" s="5"/>
      <c r="T11" s="5"/>
      <c r="U11" s="5"/>
      <c r="V11" s="5"/>
      <c r="W11" s="5"/>
      <c r="X11" s="19"/>
      <c r="Y11" s="17"/>
      <c r="Z11" s="5">
        <v>6.3</v>
      </c>
      <c r="AA11" s="5">
        <v>8.19</v>
      </c>
      <c r="AB11" s="5">
        <v>6.1</v>
      </c>
      <c r="AC11" s="5">
        <v>6.02</v>
      </c>
      <c r="AD11" s="13"/>
      <c r="AE11" s="13"/>
      <c r="AF11" s="19"/>
      <c r="AG11" s="19"/>
      <c r="AH11" s="20"/>
    </row>
    <row r="12" spans="1:34" x14ac:dyDescent="0.4">
      <c r="A12" s="8"/>
      <c r="B12" s="8"/>
      <c r="C12" s="9"/>
      <c r="D12" s="9"/>
      <c r="E12" s="14"/>
      <c r="F12" s="14"/>
      <c r="G12" s="18"/>
      <c r="H12" s="18"/>
      <c r="I12" s="18"/>
      <c r="J12" s="18"/>
      <c r="K12" s="18"/>
      <c r="L12" s="18"/>
      <c r="M12" s="18"/>
      <c r="N12" s="59"/>
      <c r="O12" s="59"/>
      <c r="P12" s="59"/>
      <c r="Q12" s="18"/>
      <c r="R12" s="18"/>
      <c r="S12" s="18"/>
      <c r="T12" s="18"/>
      <c r="U12" s="18"/>
      <c r="V12" s="18"/>
      <c r="W12" s="18"/>
      <c r="X12" s="18"/>
      <c r="Y12" s="22"/>
      <c r="Z12" s="22"/>
      <c r="AA12" s="22"/>
      <c r="AB12" s="22"/>
      <c r="AC12" s="22"/>
      <c r="AD12" s="14"/>
      <c r="AE12" s="14"/>
      <c r="AF12" s="18"/>
      <c r="AG12" s="18"/>
      <c r="AH12" s="18"/>
    </row>
    <row r="13" spans="1:34" x14ac:dyDescent="0.4">
      <c r="A13" s="3" t="s">
        <v>121</v>
      </c>
      <c r="B13" s="1" t="s">
        <v>122</v>
      </c>
      <c r="C13" s="4">
        <v>-28</v>
      </c>
      <c r="D13" s="2"/>
      <c r="E13" s="60"/>
      <c r="F13" s="60"/>
      <c r="G13" s="5"/>
      <c r="H13" s="5"/>
      <c r="I13" s="5"/>
      <c r="J13" s="5"/>
      <c r="K13" s="5"/>
      <c r="L13" s="17"/>
      <c r="M13" s="6">
        <v>55</v>
      </c>
      <c r="N13" s="58"/>
      <c r="O13" s="4">
        <v>-28</v>
      </c>
      <c r="P13" s="58"/>
      <c r="Q13" s="5"/>
      <c r="R13" s="5"/>
      <c r="S13" s="5"/>
      <c r="T13" s="5"/>
      <c r="U13" s="5"/>
      <c r="V13" s="5"/>
      <c r="W13" s="5"/>
      <c r="X13" s="4">
        <v>9</v>
      </c>
      <c r="Y13" s="17"/>
      <c r="Z13" s="5"/>
      <c r="AA13" s="5"/>
      <c r="AB13" s="5"/>
      <c r="AC13" s="5"/>
      <c r="AD13" s="13"/>
      <c r="AE13" s="13" t="s">
        <v>37</v>
      </c>
      <c r="AF13" s="7">
        <v>8.8000000000000007</v>
      </c>
      <c r="AG13" s="7">
        <v>2.83</v>
      </c>
      <c r="AH13" s="7">
        <f>AF13/AG13</f>
        <v>3.1095406360424032</v>
      </c>
    </row>
    <row r="14" spans="1:34" x14ac:dyDescent="0.4">
      <c r="A14"/>
      <c r="C14" s="13">
        <v>-20</v>
      </c>
      <c r="D14" s="2"/>
      <c r="E14" s="60"/>
      <c r="F14" s="60"/>
      <c r="G14" s="5">
        <v>8.8000000000000007</v>
      </c>
      <c r="H14" s="5">
        <v>4.79</v>
      </c>
      <c r="I14" s="5"/>
      <c r="J14" s="5"/>
      <c r="K14" s="5">
        <f>G14/H14</f>
        <v>1.8371607515657622</v>
      </c>
      <c r="L14" s="17"/>
      <c r="M14" s="6">
        <v>55</v>
      </c>
      <c r="N14" s="58"/>
      <c r="O14" s="13">
        <v>-20</v>
      </c>
      <c r="P14" s="58"/>
      <c r="Q14" s="5"/>
      <c r="R14" s="5"/>
      <c r="S14" s="5">
        <v>8.5500000000000007</v>
      </c>
      <c r="T14" s="5">
        <v>5.9</v>
      </c>
      <c r="U14" s="5"/>
      <c r="V14" s="5"/>
      <c r="W14" s="5">
        <f>S14/T14</f>
        <v>1.4491525423728815</v>
      </c>
      <c r="X14" s="19"/>
      <c r="Y14" s="17"/>
      <c r="Z14" s="5"/>
      <c r="AA14" s="5"/>
      <c r="AB14" s="5"/>
      <c r="AC14" s="5"/>
      <c r="AD14" s="13"/>
      <c r="AE14" s="13"/>
      <c r="AF14" s="7"/>
      <c r="AG14" s="7"/>
      <c r="AH14" s="7"/>
    </row>
    <row r="15" spans="1:34" x14ac:dyDescent="0.4">
      <c r="A15" s="3"/>
      <c r="C15" s="2">
        <v>-15</v>
      </c>
      <c r="D15" s="2"/>
      <c r="E15" s="60"/>
      <c r="F15" s="60"/>
      <c r="G15" s="5">
        <v>9</v>
      </c>
      <c r="H15" s="5">
        <v>3.45</v>
      </c>
      <c r="I15" s="5"/>
      <c r="J15" s="5"/>
      <c r="K15" s="5">
        <f>G15/H15</f>
        <v>2.6086956521739131</v>
      </c>
      <c r="L15" s="17"/>
      <c r="M15" s="6">
        <v>55</v>
      </c>
      <c r="N15" s="58"/>
      <c r="O15" s="13">
        <v>-15</v>
      </c>
      <c r="P15" s="58"/>
      <c r="Q15" s="5"/>
      <c r="R15" s="5"/>
      <c r="S15" s="5">
        <v>9</v>
      </c>
      <c r="T15" s="5">
        <v>4.95</v>
      </c>
      <c r="U15" s="5"/>
      <c r="V15" s="5"/>
      <c r="W15" s="5">
        <f>S15/T15</f>
        <v>1.8181818181818181</v>
      </c>
      <c r="X15" s="19"/>
      <c r="Y15" s="17"/>
      <c r="Z15" s="5"/>
      <c r="AA15" s="5"/>
      <c r="AB15" s="5"/>
      <c r="AC15" s="5"/>
      <c r="AD15" s="13"/>
      <c r="AE15" s="13" t="s">
        <v>38</v>
      </c>
      <c r="AF15" s="7">
        <v>9.07</v>
      </c>
      <c r="AG15" s="7">
        <v>3.01</v>
      </c>
      <c r="AH15" s="7">
        <f t="shared" ref="AH15:AH16" si="1">AF15/AG15</f>
        <v>3.0132890365448506</v>
      </c>
    </row>
    <row r="16" spans="1:34" x14ac:dyDescent="0.4">
      <c r="A16" s="3"/>
      <c r="C16" s="2">
        <v>-10</v>
      </c>
      <c r="D16" s="2"/>
      <c r="E16" s="60"/>
      <c r="F16" s="60"/>
      <c r="G16" s="5"/>
      <c r="H16" s="5"/>
      <c r="I16" s="5"/>
      <c r="J16" s="5"/>
      <c r="K16" s="5"/>
      <c r="L16" s="17"/>
      <c r="M16" s="6">
        <v>60</v>
      </c>
      <c r="N16" s="58"/>
      <c r="O16" s="13">
        <v>-10</v>
      </c>
      <c r="P16" s="58"/>
      <c r="Q16" s="5"/>
      <c r="R16" s="5"/>
      <c r="S16" s="5"/>
      <c r="T16" s="5"/>
      <c r="U16" s="5"/>
      <c r="V16" s="5"/>
      <c r="W16" s="5"/>
      <c r="X16" s="19"/>
      <c r="Y16" s="17" t="s">
        <v>39</v>
      </c>
      <c r="Z16" s="5">
        <v>9</v>
      </c>
      <c r="AA16" s="5">
        <v>2.9</v>
      </c>
      <c r="AB16" s="5">
        <v>9</v>
      </c>
      <c r="AC16" s="5">
        <v>2.04</v>
      </c>
      <c r="AD16" s="13"/>
      <c r="AE16" s="13" t="s">
        <v>40</v>
      </c>
      <c r="AF16" s="7">
        <v>8.8000000000000007</v>
      </c>
      <c r="AG16" s="7">
        <v>1.9</v>
      </c>
      <c r="AH16" s="7">
        <f t="shared" si="1"/>
        <v>4.6315789473684212</v>
      </c>
    </row>
    <row r="17" spans="1:34" x14ac:dyDescent="0.4">
      <c r="A17" s="3"/>
      <c r="C17" s="2">
        <v>-7</v>
      </c>
      <c r="D17" s="2"/>
      <c r="E17" s="60"/>
      <c r="F17" s="60"/>
      <c r="G17" s="5">
        <v>9</v>
      </c>
      <c r="H17" s="5">
        <v>3</v>
      </c>
      <c r="I17" s="5"/>
      <c r="J17" s="5"/>
      <c r="K17" s="5">
        <f>G17/H17</f>
        <v>3</v>
      </c>
      <c r="L17" s="17"/>
      <c r="M17" s="6">
        <v>60</v>
      </c>
      <c r="N17" s="58"/>
      <c r="O17" s="13">
        <v>-7</v>
      </c>
      <c r="P17" s="58"/>
      <c r="Q17" s="5"/>
      <c r="R17" s="5"/>
      <c r="S17" s="5">
        <v>9</v>
      </c>
      <c r="T17" s="5">
        <v>4.28</v>
      </c>
      <c r="U17" s="5"/>
      <c r="V17" s="5"/>
      <c r="W17" s="5">
        <f>S17/T17</f>
        <v>2.1028037383177569</v>
      </c>
      <c r="X17" s="19"/>
      <c r="Y17" s="5">
        <f>AA17*(1.029-(0.05*Z17/G19))</f>
        <v>2.9930488888888886</v>
      </c>
      <c r="Z17" s="5">
        <v>8</v>
      </c>
      <c r="AA17" s="5">
        <v>3.04</v>
      </c>
      <c r="AB17" s="5">
        <v>8</v>
      </c>
      <c r="AC17" s="5">
        <v>2.33</v>
      </c>
      <c r="AD17" s="13"/>
      <c r="AE17" s="13"/>
      <c r="AF17" s="19"/>
      <c r="AG17" s="19"/>
      <c r="AH17" s="20"/>
    </row>
    <row r="18" spans="1:34" x14ac:dyDescent="0.4">
      <c r="A18" s="3"/>
      <c r="C18" s="2">
        <v>2</v>
      </c>
      <c r="D18" s="2"/>
      <c r="E18" s="60"/>
      <c r="F18" s="60"/>
      <c r="G18" s="5">
        <v>9</v>
      </c>
      <c r="H18" s="5">
        <v>2.44</v>
      </c>
      <c r="I18" s="5"/>
      <c r="J18" s="5"/>
      <c r="K18" s="5">
        <f>G18/H18</f>
        <v>3.6885245901639343</v>
      </c>
      <c r="L18" s="17"/>
      <c r="M18" s="6">
        <v>60</v>
      </c>
      <c r="N18" s="58"/>
      <c r="O18" s="13">
        <v>2</v>
      </c>
      <c r="P18" s="58"/>
      <c r="Q18" s="5"/>
      <c r="R18" s="5"/>
      <c r="S18" s="5">
        <v>9</v>
      </c>
      <c r="T18" s="5">
        <v>3.9</v>
      </c>
      <c r="U18" s="5"/>
      <c r="V18" s="5"/>
      <c r="W18" s="5">
        <f>S18/T18</f>
        <v>2.3076923076923079</v>
      </c>
      <c r="X18" s="19"/>
      <c r="Y18" s="5">
        <f>AA18*(0.906-(0.044*Z18/G19))</f>
        <v>4.3484791111111116</v>
      </c>
      <c r="Z18" s="5">
        <v>4.9000000000000004</v>
      </c>
      <c r="AA18" s="5">
        <v>4.93</v>
      </c>
      <c r="AB18" s="5">
        <v>4.9000000000000004</v>
      </c>
      <c r="AC18" s="5">
        <v>3.46</v>
      </c>
      <c r="AD18" s="13"/>
      <c r="AE18" s="13"/>
      <c r="AF18" s="19"/>
      <c r="AG18" s="19"/>
      <c r="AH18" s="20"/>
    </row>
    <row r="19" spans="1:34" x14ac:dyDescent="0.4">
      <c r="A19" s="3"/>
      <c r="C19" s="2">
        <v>7</v>
      </c>
      <c r="D19" s="2"/>
      <c r="E19" s="60"/>
      <c r="F19" s="60"/>
      <c r="G19" s="5">
        <v>9</v>
      </c>
      <c r="H19" s="5">
        <v>1.79</v>
      </c>
      <c r="I19" s="5"/>
      <c r="J19" s="5"/>
      <c r="K19" s="5">
        <f>G19/H19</f>
        <v>5.027932960893855</v>
      </c>
      <c r="L19" s="17"/>
      <c r="M19" s="6">
        <v>60</v>
      </c>
      <c r="N19" s="58"/>
      <c r="O19" s="13">
        <v>7</v>
      </c>
      <c r="P19" s="58"/>
      <c r="Q19" s="5"/>
      <c r="R19" s="5"/>
      <c r="S19" s="5">
        <v>9</v>
      </c>
      <c r="T19" s="5">
        <v>2.93</v>
      </c>
      <c r="U19" s="5"/>
      <c r="V19" s="5"/>
      <c r="W19" s="5">
        <f>S19/T19</f>
        <v>3.0716723549488054</v>
      </c>
      <c r="X19" s="19"/>
      <c r="Y19" s="5">
        <f>K19</f>
        <v>5.027932960893855</v>
      </c>
      <c r="Z19" s="5">
        <v>5.4</v>
      </c>
      <c r="AA19" s="5">
        <v>6.26</v>
      </c>
      <c r="AB19" s="5">
        <v>5.0999999999999996</v>
      </c>
      <c r="AC19" s="5">
        <v>4.4800000000000004</v>
      </c>
      <c r="AD19" s="13"/>
      <c r="AE19" s="13"/>
      <c r="AF19" s="19"/>
      <c r="AG19" s="19"/>
      <c r="AH19" s="20"/>
    </row>
    <row r="20" spans="1:34" x14ac:dyDescent="0.4">
      <c r="A20" s="3"/>
      <c r="C20" s="2">
        <v>12</v>
      </c>
      <c r="D20" s="2"/>
      <c r="E20" s="60"/>
      <c r="F20" s="60"/>
      <c r="G20" s="5"/>
      <c r="H20" s="5"/>
      <c r="I20" s="5"/>
      <c r="J20" s="5"/>
      <c r="K20" s="5"/>
      <c r="L20" s="17"/>
      <c r="M20" s="6">
        <v>60</v>
      </c>
      <c r="N20" s="58"/>
      <c r="O20" s="13">
        <v>12</v>
      </c>
      <c r="P20" s="58"/>
      <c r="Q20" s="5"/>
      <c r="R20" s="5"/>
      <c r="S20" s="5"/>
      <c r="T20" s="5"/>
      <c r="U20" s="5"/>
      <c r="V20" s="5"/>
      <c r="W20" s="5"/>
      <c r="X20" s="19"/>
      <c r="Y20" s="17"/>
      <c r="Z20" s="5">
        <v>6.3</v>
      </c>
      <c r="AA20" s="5">
        <v>8.19</v>
      </c>
      <c r="AB20" s="5">
        <v>6.1</v>
      </c>
      <c r="AC20" s="5">
        <v>6.02</v>
      </c>
      <c r="AD20" s="13"/>
      <c r="AE20" s="13"/>
      <c r="AF20" s="19"/>
      <c r="AG20" s="19"/>
      <c r="AH20" s="20"/>
    </row>
    <row r="21" spans="1:34" x14ac:dyDescent="0.4">
      <c r="A21" s="8"/>
      <c r="B21" s="8"/>
      <c r="C21" s="9"/>
      <c r="D21" s="9"/>
      <c r="E21" s="14"/>
      <c r="F21" s="14"/>
      <c r="G21" s="18"/>
      <c r="H21" s="18"/>
      <c r="I21" s="18"/>
      <c r="J21" s="18"/>
      <c r="K21" s="18"/>
      <c r="L21" s="18"/>
      <c r="M21" s="18"/>
      <c r="N21" s="59"/>
      <c r="O21" s="59"/>
      <c r="P21" s="59"/>
      <c r="Q21" s="18"/>
      <c r="R21" s="18"/>
      <c r="S21" s="18"/>
      <c r="T21" s="18"/>
      <c r="U21" s="18"/>
      <c r="V21" s="18"/>
      <c r="W21" s="18"/>
      <c r="X21" s="18"/>
      <c r="Y21" s="22"/>
      <c r="Z21" s="22"/>
      <c r="AA21" s="22"/>
      <c r="AB21" s="22"/>
      <c r="AC21" s="22"/>
      <c r="AD21" s="14"/>
      <c r="AE21" s="14"/>
      <c r="AF21" s="18"/>
      <c r="AG21" s="18"/>
      <c r="AH21" s="18"/>
    </row>
    <row r="22" spans="1:34" x14ac:dyDescent="0.4">
      <c r="A22" s="3" t="s">
        <v>120</v>
      </c>
      <c r="B22" s="1" t="s">
        <v>123</v>
      </c>
      <c r="C22" s="4">
        <v>-28</v>
      </c>
      <c r="D22" s="2"/>
      <c r="E22" s="60"/>
      <c r="F22" s="60"/>
      <c r="G22" s="5"/>
      <c r="H22" s="5"/>
      <c r="I22" s="5"/>
      <c r="J22" s="5"/>
      <c r="K22" s="5"/>
      <c r="L22" s="17"/>
      <c r="M22" s="6">
        <v>55</v>
      </c>
      <c r="N22" s="58"/>
      <c r="O22" s="4">
        <v>-28</v>
      </c>
      <c r="P22" s="58"/>
      <c r="Q22" s="5"/>
      <c r="R22" s="5"/>
      <c r="S22" s="5"/>
      <c r="T22" s="5"/>
      <c r="U22" s="5"/>
      <c r="V22" s="5"/>
      <c r="W22" s="5"/>
      <c r="X22" s="4">
        <v>9</v>
      </c>
      <c r="Y22" s="17"/>
      <c r="Z22" s="5"/>
      <c r="AA22" s="5"/>
      <c r="AB22" s="5"/>
      <c r="AC22" s="5"/>
      <c r="AD22" s="13"/>
      <c r="AE22" s="13" t="s">
        <v>37</v>
      </c>
      <c r="AF22" s="7">
        <v>10.7</v>
      </c>
      <c r="AG22" s="7">
        <v>4</v>
      </c>
      <c r="AH22" s="7">
        <f>AF22/AG22</f>
        <v>2.6749999999999998</v>
      </c>
    </row>
    <row r="23" spans="1:34" x14ac:dyDescent="0.4">
      <c r="A23"/>
      <c r="C23" s="13">
        <v>-20</v>
      </c>
      <c r="D23" s="2"/>
      <c r="E23" s="60"/>
      <c r="F23" s="60"/>
      <c r="G23" s="5">
        <v>11.5</v>
      </c>
      <c r="H23" s="5">
        <v>6.05</v>
      </c>
      <c r="I23" s="5"/>
      <c r="J23" s="5"/>
      <c r="K23" s="5">
        <f>G23/H23</f>
        <v>1.9008264462809918</v>
      </c>
      <c r="L23" s="17"/>
      <c r="M23" s="6">
        <v>55</v>
      </c>
      <c r="N23" s="58"/>
      <c r="O23" s="13">
        <v>-20</v>
      </c>
      <c r="P23" s="58"/>
      <c r="Q23" s="5"/>
      <c r="R23" s="5"/>
      <c r="S23" s="5">
        <v>8.6999999999999993</v>
      </c>
      <c r="T23" s="5">
        <v>6</v>
      </c>
      <c r="U23" s="5"/>
      <c r="V23" s="5"/>
      <c r="W23" s="5">
        <f>S23/T23</f>
        <v>1.45</v>
      </c>
      <c r="X23" s="19"/>
      <c r="Y23" s="17"/>
      <c r="Z23" s="5"/>
      <c r="AA23" s="5"/>
      <c r="AB23" s="5"/>
      <c r="AC23" s="5"/>
      <c r="AD23" s="13"/>
      <c r="AE23" s="13"/>
      <c r="AF23" s="7"/>
      <c r="AG23" s="7"/>
      <c r="AH23" s="7"/>
    </row>
    <row r="24" spans="1:34" x14ac:dyDescent="0.4">
      <c r="A24" s="3"/>
      <c r="C24" s="2">
        <v>-15</v>
      </c>
      <c r="D24" s="2"/>
      <c r="E24" s="60"/>
      <c r="F24" s="60"/>
      <c r="G24" s="5">
        <v>12</v>
      </c>
      <c r="H24" s="5">
        <v>4.9000000000000004</v>
      </c>
      <c r="I24" s="5"/>
      <c r="J24" s="5"/>
      <c r="K24" s="5">
        <f>G24/H24</f>
        <v>2.4489795918367343</v>
      </c>
      <c r="L24" s="17"/>
      <c r="M24" s="6">
        <v>55</v>
      </c>
      <c r="N24" s="58"/>
      <c r="O24" s="13">
        <v>-15</v>
      </c>
      <c r="P24" s="58"/>
      <c r="Q24" s="5"/>
      <c r="R24" s="5"/>
      <c r="S24" s="5">
        <v>10.5</v>
      </c>
      <c r="T24" s="5">
        <v>6.2</v>
      </c>
      <c r="U24" s="5"/>
      <c r="V24" s="5"/>
      <c r="W24" s="5">
        <f>S24/T24</f>
        <v>1.6935483870967742</v>
      </c>
      <c r="X24" s="19"/>
      <c r="Y24" s="17"/>
      <c r="Z24" s="5"/>
      <c r="AA24" s="5"/>
      <c r="AB24" s="5"/>
      <c r="AC24" s="5"/>
      <c r="AD24" s="13"/>
      <c r="AE24" s="13" t="s">
        <v>38</v>
      </c>
      <c r="AF24" s="7">
        <v>11.42</v>
      </c>
      <c r="AG24" s="7">
        <v>4.2</v>
      </c>
      <c r="AH24" s="7">
        <f t="shared" ref="AH24:AH25" si="2">AF24/AG24</f>
        <v>2.7190476190476187</v>
      </c>
    </row>
    <row r="25" spans="1:34" x14ac:dyDescent="0.4">
      <c r="A25" s="3"/>
      <c r="C25" s="2">
        <v>-10</v>
      </c>
      <c r="D25" s="2"/>
      <c r="E25" s="60"/>
      <c r="F25" s="60"/>
      <c r="G25" s="5"/>
      <c r="H25" s="5"/>
      <c r="I25" s="5"/>
      <c r="J25" s="5"/>
      <c r="K25" s="5"/>
      <c r="L25" s="17"/>
      <c r="M25" s="6">
        <v>60</v>
      </c>
      <c r="N25" s="58"/>
      <c r="O25" s="13">
        <v>-10</v>
      </c>
      <c r="P25" s="58"/>
      <c r="Q25" s="5"/>
      <c r="R25" s="5"/>
      <c r="S25" s="5"/>
      <c r="T25" s="5"/>
      <c r="U25" s="5"/>
      <c r="V25" s="5"/>
      <c r="W25" s="5"/>
      <c r="X25" s="19"/>
      <c r="Y25" s="17" t="s">
        <v>39</v>
      </c>
      <c r="Z25" s="5">
        <v>9</v>
      </c>
      <c r="AA25" s="5">
        <v>2.9</v>
      </c>
      <c r="AB25" s="5">
        <v>9</v>
      </c>
      <c r="AC25" s="5">
        <v>2.04</v>
      </c>
      <c r="AD25" s="13"/>
      <c r="AE25" s="13" t="s">
        <v>40</v>
      </c>
      <c r="AF25" s="7">
        <v>10.7</v>
      </c>
      <c r="AG25" s="7">
        <v>2.73</v>
      </c>
      <c r="AH25" s="7">
        <f t="shared" si="2"/>
        <v>3.9194139194139193</v>
      </c>
    </row>
    <row r="26" spans="1:34" x14ac:dyDescent="0.4">
      <c r="A26" s="3"/>
      <c r="C26" s="2">
        <v>-7</v>
      </c>
      <c r="D26" s="2"/>
      <c r="E26" s="60"/>
      <c r="F26" s="60"/>
      <c r="G26" s="5">
        <v>12</v>
      </c>
      <c r="H26" s="5">
        <v>4.41</v>
      </c>
      <c r="I26" s="5"/>
      <c r="J26" s="5"/>
      <c r="K26" s="5">
        <f>G26/H26</f>
        <v>2.7210884353741496</v>
      </c>
      <c r="L26" s="17"/>
      <c r="M26" s="6">
        <v>60</v>
      </c>
      <c r="N26" s="58"/>
      <c r="O26" s="13">
        <v>-7</v>
      </c>
      <c r="P26" s="58"/>
      <c r="Q26" s="5"/>
      <c r="R26" s="5"/>
      <c r="S26" s="5">
        <v>12</v>
      </c>
      <c r="T26" s="5">
        <v>5.24</v>
      </c>
      <c r="U26" s="5"/>
      <c r="V26" s="5"/>
      <c r="W26" s="5">
        <f>S26/T26</f>
        <v>2.2900763358778624</v>
      </c>
      <c r="X26" s="19"/>
      <c r="Y26" s="5">
        <f>AA26*(1.029-(0.05*Z26/G28))</f>
        <v>3.0276641322314046</v>
      </c>
      <c r="Z26" s="5">
        <v>8</v>
      </c>
      <c r="AA26" s="5">
        <v>3.04</v>
      </c>
      <c r="AB26" s="5">
        <v>8</v>
      </c>
      <c r="AC26" s="5">
        <v>2.33</v>
      </c>
      <c r="AD26" s="13"/>
      <c r="AE26" s="13"/>
      <c r="AF26" s="19"/>
      <c r="AG26" s="19"/>
      <c r="AH26" s="20"/>
    </row>
    <row r="27" spans="1:34" x14ac:dyDescent="0.4">
      <c r="A27" s="3"/>
      <c r="C27" s="2">
        <v>2</v>
      </c>
      <c r="D27" s="2"/>
      <c r="E27" s="60"/>
      <c r="F27" s="60"/>
      <c r="G27" s="5">
        <v>12</v>
      </c>
      <c r="H27" s="5">
        <v>3.49</v>
      </c>
      <c r="I27" s="5"/>
      <c r="J27" s="5"/>
      <c r="K27" s="5">
        <f>G27/H27</f>
        <v>3.4383954154727792</v>
      </c>
      <c r="L27" s="17"/>
      <c r="M27" s="6">
        <v>60</v>
      </c>
      <c r="N27" s="58"/>
      <c r="O27" s="13">
        <v>2</v>
      </c>
      <c r="P27" s="58"/>
      <c r="Q27" s="5"/>
      <c r="R27" s="5"/>
      <c r="S27" s="5">
        <v>12</v>
      </c>
      <c r="T27" s="5">
        <v>5.24</v>
      </c>
      <c r="U27" s="5"/>
      <c r="V27" s="5"/>
      <c r="W27" s="5">
        <f>S27/T27</f>
        <v>2.2900763358778624</v>
      </c>
      <c r="X27" s="19"/>
      <c r="Y27" s="5">
        <f>AA27*(0.906-(0.044*Z27/G28))</f>
        <v>4.3787363636363636</v>
      </c>
      <c r="Z27" s="5">
        <v>4.9000000000000004</v>
      </c>
      <c r="AA27" s="5">
        <v>4.93</v>
      </c>
      <c r="AB27" s="5">
        <v>4.9000000000000004</v>
      </c>
      <c r="AC27" s="5">
        <v>3.46</v>
      </c>
      <c r="AD27" s="13"/>
      <c r="AE27" s="13"/>
      <c r="AF27" s="19"/>
      <c r="AG27" s="19"/>
      <c r="AH27" s="20"/>
    </row>
    <row r="28" spans="1:34" x14ac:dyDescent="0.4">
      <c r="A28" s="3"/>
      <c r="C28" s="2">
        <v>7</v>
      </c>
      <c r="D28" s="2"/>
      <c r="E28" s="60"/>
      <c r="F28" s="60"/>
      <c r="G28" s="5">
        <v>12.1</v>
      </c>
      <c r="H28" s="5">
        <v>2.5</v>
      </c>
      <c r="I28" s="5"/>
      <c r="J28" s="5"/>
      <c r="K28" s="5">
        <f>G28/H28</f>
        <v>4.84</v>
      </c>
      <c r="L28" s="17"/>
      <c r="M28" s="6">
        <v>60</v>
      </c>
      <c r="N28" s="58"/>
      <c r="O28" s="13">
        <v>7</v>
      </c>
      <c r="P28" s="58"/>
      <c r="Q28" s="5"/>
      <c r="R28" s="5"/>
      <c r="S28" s="5">
        <v>12.1</v>
      </c>
      <c r="T28" s="5">
        <v>3.98</v>
      </c>
      <c r="U28" s="5"/>
      <c r="V28" s="5"/>
      <c r="W28" s="5">
        <f>S28/T28</f>
        <v>3.0402010050251254</v>
      </c>
      <c r="X28" s="19"/>
      <c r="Y28" s="5">
        <f>K28</f>
        <v>4.84</v>
      </c>
      <c r="Z28" s="5">
        <v>5.4</v>
      </c>
      <c r="AA28" s="5">
        <v>6.26</v>
      </c>
      <c r="AB28" s="5">
        <v>5.0999999999999996</v>
      </c>
      <c r="AC28" s="5">
        <v>4.4800000000000004</v>
      </c>
      <c r="AD28" s="13"/>
      <c r="AE28" s="13"/>
      <c r="AF28" s="19"/>
      <c r="AG28" s="19"/>
      <c r="AH28" s="20"/>
    </row>
    <row r="29" spans="1:34" x14ac:dyDescent="0.4">
      <c r="A29" s="3"/>
      <c r="C29" s="2">
        <v>12</v>
      </c>
      <c r="D29" s="2"/>
      <c r="E29" s="60"/>
      <c r="F29" s="60"/>
      <c r="G29" s="5"/>
      <c r="H29" s="5"/>
      <c r="I29" s="5"/>
      <c r="J29" s="5"/>
      <c r="K29" s="5"/>
      <c r="L29" s="17"/>
      <c r="M29" s="6">
        <v>60</v>
      </c>
      <c r="N29" s="58"/>
      <c r="O29" s="13">
        <v>12</v>
      </c>
      <c r="P29" s="58"/>
      <c r="Q29" s="5"/>
      <c r="R29" s="5"/>
      <c r="S29" s="5"/>
      <c r="T29" s="5"/>
      <c r="U29" s="5"/>
      <c r="V29" s="5"/>
      <c r="W29" s="5"/>
      <c r="X29" s="19"/>
      <c r="Y29" s="17"/>
      <c r="Z29" s="5">
        <v>6.3</v>
      </c>
      <c r="AA29" s="5">
        <v>8.19</v>
      </c>
      <c r="AB29" s="5">
        <v>6.1</v>
      </c>
      <c r="AC29" s="5">
        <v>6.02</v>
      </c>
      <c r="AD29" s="13"/>
      <c r="AE29" s="13"/>
      <c r="AF29" s="19"/>
      <c r="AG29" s="19"/>
      <c r="AH29" s="20"/>
    </row>
    <row r="30" spans="1:34" x14ac:dyDescent="0.4">
      <c r="A30" s="8"/>
      <c r="B30" s="8"/>
      <c r="C30" s="9"/>
      <c r="D30" s="9"/>
      <c r="E30" s="18"/>
      <c r="F30" s="18"/>
      <c r="G30" s="18"/>
      <c r="H30" s="18"/>
      <c r="I30" s="18"/>
      <c r="J30" s="18"/>
      <c r="K30" s="18"/>
      <c r="L30" s="18"/>
      <c r="M30" s="18"/>
      <c r="N30" s="14"/>
      <c r="O30" s="14"/>
      <c r="P30" s="14"/>
      <c r="Q30" s="18"/>
      <c r="R30" s="18"/>
      <c r="S30" s="18"/>
      <c r="T30" s="18"/>
      <c r="U30" s="18"/>
      <c r="V30" s="18"/>
      <c r="W30" s="18"/>
      <c r="X30" s="18"/>
      <c r="Y30" s="22"/>
      <c r="Z30" s="22"/>
      <c r="AA30" s="22"/>
      <c r="AB30" s="22"/>
      <c r="AC30" s="22"/>
      <c r="AD30" s="14"/>
      <c r="AE30" s="14"/>
      <c r="AF30" s="18"/>
      <c r="AG30" s="18"/>
      <c r="AH30" s="18"/>
    </row>
    <row r="31" spans="1:34" x14ac:dyDescent="0.4">
      <c r="A31" s="3" t="s">
        <v>121</v>
      </c>
      <c r="B31" s="1" t="s">
        <v>123</v>
      </c>
      <c r="C31" s="4">
        <v>-28</v>
      </c>
      <c r="D31" s="2"/>
      <c r="E31" s="60"/>
      <c r="F31" s="60"/>
      <c r="G31" s="5"/>
      <c r="H31" s="5"/>
      <c r="I31" s="5"/>
      <c r="J31" s="5"/>
      <c r="K31" s="5"/>
      <c r="L31" s="17"/>
      <c r="M31" s="6">
        <v>55</v>
      </c>
      <c r="N31" s="58"/>
      <c r="O31" s="4">
        <v>-28</v>
      </c>
      <c r="P31" s="58"/>
      <c r="Q31" s="5"/>
      <c r="R31" s="5"/>
      <c r="S31" s="5"/>
      <c r="T31" s="5"/>
      <c r="U31" s="5"/>
      <c r="V31" s="5"/>
      <c r="W31" s="5"/>
      <c r="X31" s="4">
        <v>9</v>
      </c>
      <c r="Y31" s="17"/>
      <c r="Z31" s="5"/>
      <c r="AA31" s="5"/>
      <c r="AB31" s="5"/>
      <c r="AC31" s="5"/>
      <c r="AD31" s="13"/>
      <c r="AE31" s="13" t="s">
        <v>37</v>
      </c>
      <c r="AF31" s="7">
        <v>10.7</v>
      </c>
      <c r="AG31" s="7">
        <v>4</v>
      </c>
      <c r="AH31" s="7">
        <f>AF31/AG31</f>
        <v>2.6749999999999998</v>
      </c>
    </row>
    <row r="32" spans="1:34" x14ac:dyDescent="0.4">
      <c r="A32"/>
      <c r="C32" s="13">
        <v>-20</v>
      </c>
      <c r="D32" s="2"/>
      <c r="E32" s="60"/>
      <c r="F32" s="60"/>
      <c r="G32" s="5">
        <v>11.5</v>
      </c>
      <c r="H32" s="5">
        <v>6.05</v>
      </c>
      <c r="I32" s="5"/>
      <c r="J32" s="5"/>
      <c r="K32" s="5">
        <f>G32/H32</f>
        <v>1.9008264462809918</v>
      </c>
      <c r="L32" s="17"/>
      <c r="M32" s="6">
        <v>55</v>
      </c>
      <c r="N32" s="58"/>
      <c r="O32" s="13">
        <v>-20</v>
      </c>
      <c r="P32" s="58"/>
      <c r="Q32" s="5"/>
      <c r="R32" s="5"/>
      <c r="S32" s="5">
        <v>8.6999999999999993</v>
      </c>
      <c r="T32" s="5">
        <v>6</v>
      </c>
      <c r="U32" s="5"/>
      <c r="V32" s="5"/>
      <c r="W32" s="5">
        <f>S32/T32</f>
        <v>1.45</v>
      </c>
      <c r="X32" s="19"/>
      <c r="Y32" s="17"/>
      <c r="Z32" s="5"/>
      <c r="AA32" s="5"/>
      <c r="AB32" s="5"/>
      <c r="AC32" s="5"/>
      <c r="AD32" s="13"/>
      <c r="AE32" s="13"/>
      <c r="AF32" s="7"/>
      <c r="AG32" s="7"/>
      <c r="AH32" s="7"/>
    </row>
    <row r="33" spans="1:34" x14ac:dyDescent="0.4">
      <c r="A33" s="3"/>
      <c r="C33" s="2">
        <v>-15</v>
      </c>
      <c r="D33" s="2"/>
      <c r="E33" s="60"/>
      <c r="F33" s="60"/>
      <c r="G33" s="5">
        <v>12</v>
      </c>
      <c r="H33" s="5">
        <v>4.9000000000000004</v>
      </c>
      <c r="I33" s="5"/>
      <c r="J33" s="5"/>
      <c r="K33" s="5">
        <f>G33/H33</f>
        <v>2.4489795918367343</v>
      </c>
      <c r="L33" s="17"/>
      <c r="M33" s="6">
        <v>55</v>
      </c>
      <c r="N33" s="58"/>
      <c r="O33" s="13">
        <v>-15</v>
      </c>
      <c r="P33" s="58"/>
      <c r="Q33" s="5"/>
      <c r="R33" s="5"/>
      <c r="S33" s="5">
        <v>10.5</v>
      </c>
      <c r="T33" s="5">
        <v>6.2</v>
      </c>
      <c r="U33" s="5"/>
      <c r="V33" s="5"/>
      <c r="W33" s="5">
        <f>S33/T33</f>
        <v>1.6935483870967742</v>
      </c>
      <c r="X33" s="19"/>
      <c r="Y33" s="17"/>
      <c r="Z33" s="5"/>
      <c r="AA33" s="5"/>
      <c r="AB33" s="5"/>
      <c r="AC33" s="5"/>
      <c r="AD33" s="13"/>
      <c r="AE33" s="13" t="s">
        <v>38</v>
      </c>
      <c r="AF33" s="7">
        <v>11.42</v>
      </c>
      <c r="AG33" s="7">
        <v>4.2</v>
      </c>
      <c r="AH33" s="7">
        <f t="shared" ref="AH33:AH34" si="3">AF33/AG33</f>
        <v>2.7190476190476187</v>
      </c>
    </row>
    <row r="34" spans="1:34" x14ac:dyDescent="0.4">
      <c r="A34" s="3"/>
      <c r="C34" s="2">
        <v>-10</v>
      </c>
      <c r="D34" s="2"/>
      <c r="E34" s="60"/>
      <c r="F34" s="60"/>
      <c r="G34" s="5"/>
      <c r="H34" s="5"/>
      <c r="I34" s="5"/>
      <c r="J34" s="5"/>
      <c r="K34" s="5"/>
      <c r="L34" s="17"/>
      <c r="M34" s="6">
        <v>60</v>
      </c>
      <c r="N34" s="58"/>
      <c r="O34" s="13">
        <v>-10</v>
      </c>
      <c r="P34" s="58"/>
      <c r="Q34" s="5"/>
      <c r="R34" s="5"/>
      <c r="S34" s="5"/>
      <c r="T34" s="5"/>
      <c r="U34" s="5"/>
      <c r="V34" s="5"/>
      <c r="W34" s="5"/>
      <c r="X34" s="19"/>
      <c r="Y34" s="17" t="s">
        <v>39</v>
      </c>
      <c r="Z34" s="5">
        <v>9</v>
      </c>
      <c r="AA34" s="5">
        <v>2.9</v>
      </c>
      <c r="AB34" s="5">
        <v>9</v>
      </c>
      <c r="AC34" s="5">
        <v>2.04</v>
      </c>
      <c r="AD34" s="13"/>
      <c r="AE34" s="13" t="s">
        <v>40</v>
      </c>
      <c r="AF34" s="7">
        <v>10.7</v>
      </c>
      <c r="AG34" s="7">
        <v>2.73</v>
      </c>
      <c r="AH34" s="7">
        <f t="shared" si="3"/>
        <v>3.9194139194139193</v>
      </c>
    </row>
    <row r="35" spans="1:34" x14ac:dyDescent="0.4">
      <c r="A35" s="3"/>
      <c r="C35" s="2">
        <v>-7</v>
      </c>
      <c r="D35" s="2"/>
      <c r="E35" s="60"/>
      <c r="F35" s="60"/>
      <c r="G35" s="5">
        <v>12</v>
      </c>
      <c r="H35" s="5">
        <v>4.41</v>
      </c>
      <c r="I35" s="5"/>
      <c r="J35" s="5"/>
      <c r="K35" s="5">
        <f>G35/H35</f>
        <v>2.7210884353741496</v>
      </c>
      <c r="L35" s="17"/>
      <c r="M35" s="6">
        <v>60</v>
      </c>
      <c r="N35" s="58"/>
      <c r="O35" s="13">
        <v>-7</v>
      </c>
      <c r="P35" s="58"/>
      <c r="Q35" s="5"/>
      <c r="R35" s="5"/>
      <c r="S35" s="5">
        <v>12</v>
      </c>
      <c r="T35" s="5">
        <v>5.24</v>
      </c>
      <c r="U35" s="5"/>
      <c r="V35" s="5"/>
      <c r="W35" s="5">
        <f>S35/T35</f>
        <v>2.2900763358778624</v>
      </c>
      <c r="X35" s="19"/>
      <c r="Y35" s="5">
        <f>AA35*(1.029-(0.05*Z35/G37))</f>
        <v>3.0276641322314046</v>
      </c>
      <c r="Z35" s="5">
        <v>8</v>
      </c>
      <c r="AA35" s="5">
        <v>3.04</v>
      </c>
      <c r="AB35" s="5">
        <v>8</v>
      </c>
      <c r="AC35" s="5">
        <v>2.33</v>
      </c>
      <c r="AD35" s="13"/>
      <c r="AE35" s="13"/>
      <c r="AF35" s="19"/>
      <c r="AG35" s="19"/>
      <c r="AH35" s="20"/>
    </row>
    <row r="36" spans="1:34" x14ac:dyDescent="0.4">
      <c r="A36" s="3"/>
      <c r="C36" s="2">
        <v>2</v>
      </c>
      <c r="D36" s="2"/>
      <c r="E36" s="60"/>
      <c r="F36" s="60"/>
      <c r="G36" s="5">
        <v>12</v>
      </c>
      <c r="H36" s="5">
        <v>3.49</v>
      </c>
      <c r="I36" s="5"/>
      <c r="J36" s="5"/>
      <c r="K36" s="5">
        <f>G36/H36</f>
        <v>3.4383954154727792</v>
      </c>
      <c r="L36" s="17"/>
      <c r="M36" s="6">
        <v>60</v>
      </c>
      <c r="N36" s="58"/>
      <c r="O36" s="13">
        <v>2</v>
      </c>
      <c r="P36" s="58"/>
      <c r="Q36" s="5"/>
      <c r="R36" s="5"/>
      <c r="S36" s="5">
        <v>12</v>
      </c>
      <c r="T36" s="5">
        <v>5.24</v>
      </c>
      <c r="U36" s="5"/>
      <c r="V36" s="5"/>
      <c r="W36" s="5">
        <f>S36/T36</f>
        <v>2.2900763358778624</v>
      </c>
      <c r="X36" s="19"/>
      <c r="Y36" s="5">
        <f>AA36*(0.906-(0.044*Z36/G37))</f>
        <v>4.3787363636363636</v>
      </c>
      <c r="Z36" s="5">
        <v>4.9000000000000004</v>
      </c>
      <c r="AA36" s="5">
        <v>4.93</v>
      </c>
      <c r="AB36" s="5">
        <v>4.9000000000000004</v>
      </c>
      <c r="AC36" s="5">
        <v>3.46</v>
      </c>
      <c r="AD36" s="13"/>
      <c r="AE36" s="13"/>
      <c r="AF36" s="19"/>
      <c r="AG36" s="19"/>
      <c r="AH36" s="20"/>
    </row>
    <row r="37" spans="1:34" x14ac:dyDescent="0.4">
      <c r="A37" s="3"/>
      <c r="C37" s="2">
        <v>7</v>
      </c>
      <c r="D37" s="2"/>
      <c r="E37" s="60"/>
      <c r="F37" s="60"/>
      <c r="G37" s="5">
        <v>12.1</v>
      </c>
      <c r="H37" s="5">
        <v>2.5</v>
      </c>
      <c r="I37" s="5"/>
      <c r="J37" s="5"/>
      <c r="K37" s="5">
        <f>G37/H37</f>
        <v>4.84</v>
      </c>
      <c r="L37" s="17"/>
      <c r="M37" s="6">
        <v>60</v>
      </c>
      <c r="N37" s="58"/>
      <c r="O37" s="13">
        <v>7</v>
      </c>
      <c r="P37" s="58"/>
      <c r="Q37" s="5"/>
      <c r="R37" s="5"/>
      <c r="S37" s="5">
        <v>12.1</v>
      </c>
      <c r="T37" s="5">
        <v>3.98</v>
      </c>
      <c r="U37" s="5"/>
      <c r="V37" s="5"/>
      <c r="W37" s="5">
        <f>S37/T37</f>
        <v>3.0402010050251254</v>
      </c>
      <c r="X37" s="19"/>
      <c r="Y37" s="5">
        <f>K37</f>
        <v>4.84</v>
      </c>
      <c r="Z37" s="5">
        <v>5.4</v>
      </c>
      <c r="AA37" s="5">
        <v>6.26</v>
      </c>
      <c r="AB37" s="5">
        <v>5.0999999999999996</v>
      </c>
      <c r="AC37" s="5">
        <v>4.4800000000000004</v>
      </c>
      <c r="AD37" s="13"/>
      <c r="AE37" s="13"/>
      <c r="AF37" s="19"/>
      <c r="AG37" s="19"/>
      <c r="AH37" s="20"/>
    </row>
    <row r="38" spans="1:34" x14ac:dyDescent="0.4">
      <c r="A38" s="3"/>
      <c r="C38" s="2">
        <v>12</v>
      </c>
      <c r="D38" s="2"/>
      <c r="E38" s="60"/>
      <c r="F38" s="60"/>
      <c r="G38" s="5"/>
      <c r="H38" s="5"/>
      <c r="I38" s="5"/>
      <c r="J38" s="5"/>
      <c r="K38" s="5"/>
      <c r="L38" s="17"/>
      <c r="M38" s="6">
        <v>60</v>
      </c>
      <c r="N38" s="58"/>
      <c r="O38" s="13">
        <v>12</v>
      </c>
      <c r="P38" s="58"/>
      <c r="Q38" s="5"/>
      <c r="R38" s="5"/>
      <c r="S38" s="5"/>
      <c r="T38" s="5"/>
      <c r="U38" s="5"/>
      <c r="V38" s="5"/>
      <c r="W38" s="5"/>
      <c r="X38" s="19"/>
      <c r="Y38" s="17"/>
      <c r="Z38" s="5">
        <v>6.3</v>
      </c>
      <c r="AA38" s="5">
        <v>8.19</v>
      </c>
      <c r="AB38" s="5">
        <v>6.1</v>
      </c>
      <c r="AC38" s="5">
        <v>6.02</v>
      </c>
      <c r="AD38" s="13"/>
      <c r="AE38" s="13"/>
      <c r="AF38" s="19"/>
      <c r="AG38" s="19"/>
      <c r="AH38" s="20"/>
    </row>
    <row r="39" spans="1:34" x14ac:dyDescent="0.4">
      <c r="A39" s="8"/>
      <c r="B39" s="8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4"/>
      <c r="O39" s="14"/>
      <c r="P39" s="14"/>
      <c r="Q39" s="18"/>
      <c r="R39" s="18"/>
      <c r="S39" s="18"/>
      <c r="T39" s="18"/>
      <c r="U39" s="18"/>
      <c r="V39" s="18"/>
      <c r="W39" s="18"/>
      <c r="X39" s="18"/>
      <c r="Y39" s="22"/>
      <c r="Z39" s="22"/>
      <c r="AA39" s="22"/>
      <c r="AB39" s="22"/>
      <c r="AC39" s="22"/>
      <c r="AD39" s="14"/>
      <c r="AE39" s="14"/>
      <c r="AF39" s="18"/>
      <c r="AG39" s="18"/>
      <c r="AH39" s="18"/>
    </row>
    <row r="41" spans="1:34" x14ac:dyDescent="0.4">
      <c r="A41" s="1" t="s">
        <v>41</v>
      </c>
    </row>
    <row r="42" spans="1:34" x14ac:dyDescent="0.4">
      <c r="A42" t="s">
        <v>124</v>
      </c>
    </row>
    <row r="43" spans="1:34" x14ac:dyDescent="0.4">
      <c r="A43" t="s">
        <v>125</v>
      </c>
      <c r="F43" s="10"/>
    </row>
    <row r="44" spans="1:34" x14ac:dyDescent="0.4">
      <c r="F44" s="11"/>
    </row>
    <row r="45" spans="1:34" x14ac:dyDescent="0.4">
      <c r="A45" t="s">
        <v>126</v>
      </c>
    </row>
    <row r="46" spans="1:34" x14ac:dyDescent="0.4">
      <c r="A46" t="s">
        <v>127</v>
      </c>
    </row>
    <row r="47" spans="1:34" x14ac:dyDescent="0.4">
      <c r="A47"/>
    </row>
    <row r="48" spans="1:34" x14ac:dyDescent="0.4">
      <c r="A48"/>
    </row>
    <row r="49" spans="1:34" x14ac:dyDescent="0.4">
      <c r="A49"/>
    </row>
    <row r="50" spans="1:34" s="1" customFormat="1" x14ac:dyDescent="0.4">
      <c r="A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s="1" customFormat="1" x14ac:dyDescent="0.4">
      <c r="A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</sheetData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8898-FC10-4F8F-9C30-17DD108BF44C}">
  <sheetPr>
    <tabColor rgb="FF7030A0"/>
  </sheetPr>
  <dimension ref="A1:AK25"/>
  <sheetViews>
    <sheetView zoomScaleNormal="100" workbookViewId="0">
      <pane xSplit="3" ySplit="3" topLeftCell="D4" activePane="bottomRight" state="frozen"/>
      <selection activeCell="AF12" sqref="AF12"/>
      <selection pane="topRight" activeCell="AF12" sqref="AF12"/>
      <selection pane="bottomLeft" activeCell="AF12" sqref="AF12"/>
      <selection pane="bottomRight" activeCell="Y19" sqref="Y19"/>
    </sheetView>
  </sheetViews>
  <sheetFormatPr baseColWidth="10" defaultColWidth="11.4609375" defaultRowHeight="14.6" x14ac:dyDescent="0.4"/>
  <cols>
    <col min="1" max="1" width="19" style="1" bestFit="1" customWidth="1"/>
    <col min="2" max="2" width="13.53515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53515625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  <col min="36" max="36" width="6" bestFit="1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s="1" customFormat="1" ht="87.45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s="1" customFormat="1" x14ac:dyDescent="0.4">
      <c r="A4" s="3" t="s">
        <v>128</v>
      </c>
      <c r="B4" s="1" t="s">
        <v>83</v>
      </c>
      <c r="C4" s="4">
        <v>-28</v>
      </c>
      <c r="D4" s="2"/>
      <c r="E4" s="5"/>
      <c r="F4" s="5"/>
      <c r="G4" s="5"/>
      <c r="H4" s="5"/>
      <c r="I4" s="16"/>
      <c r="J4" s="5"/>
      <c r="K4" s="5"/>
      <c r="L4" s="17"/>
      <c r="M4" s="6">
        <v>55</v>
      </c>
      <c r="N4" s="13"/>
      <c r="O4" s="4">
        <v>-28</v>
      </c>
      <c r="P4" s="13"/>
      <c r="Q4" s="5"/>
      <c r="R4" s="5"/>
      <c r="S4" s="5"/>
      <c r="T4" s="5"/>
      <c r="U4" s="5"/>
      <c r="V4" s="5"/>
      <c r="W4" s="5"/>
      <c r="X4" s="4">
        <v>9</v>
      </c>
      <c r="Y4" s="17"/>
      <c r="Z4" s="5"/>
      <c r="AA4" s="5"/>
      <c r="AB4" s="5"/>
      <c r="AC4" s="5"/>
      <c r="AD4" s="13"/>
      <c r="AE4" s="13" t="s">
        <v>37</v>
      </c>
      <c r="AF4" s="7">
        <v>13.4</v>
      </c>
      <c r="AG4" s="7">
        <v>5.08</v>
      </c>
      <c r="AH4" s="7">
        <f>AF4/AG4</f>
        <v>2.6377952755905514</v>
      </c>
    </row>
    <row r="5" spans="1:37" x14ac:dyDescent="0.4">
      <c r="A5" s="3"/>
      <c r="C5" s="13">
        <v>-20</v>
      </c>
      <c r="D5" s="2"/>
      <c r="E5" s="5"/>
      <c r="F5" s="5"/>
      <c r="G5" s="5">
        <v>16</v>
      </c>
      <c r="H5" s="5">
        <v>8.1999999999999993</v>
      </c>
      <c r="I5" s="16"/>
      <c r="J5" s="5"/>
      <c r="K5" s="5">
        <f>G5/H5</f>
        <v>1.9512195121951221</v>
      </c>
      <c r="L5" s="17"/>
      <c r="M5" s="6">
        <v>55</v>
      </c>
      <c r="N5" s="13"/>
      <c r="O5" s="13">
        <v>-20</v>
      </c>
      <c r="P5" s="13"/>
      <c r="Q5" s="5"/>
      <c r="R5" s="5"/>
      <c r="S5" s="5">
        <v>12</v>
      </c>
      <c r="T5" s="5">
        <v>9.3000000000000007</v>
      </c>
      <c r="U5" s="5"/>
      <c r="V5" s="5"/>
      <c r="W5" s="5">
        <f>S5/T5</f>
        <v>1.2903225806451613</v>
      </c>
      <c r="X5" s="19"/>
      <c r="Y5" s="17"/>
      <c r="Z5" s="5"/>
      <c r="AA5" s="5"/>
      <c r="AB5" s="5"/>
      <c r="AC5" s="5"/>
      <c r="AD5" s="13"/>
      <c r="AE5" s="13"/>
      <c r="AF5" s="7"/>
      <c r="AG5" s="7"/>
      <c r="AH5" s="7"/>
    </row>
    <row r="6" spans="1:37" x14ac:dyDescent="0.4">
      <c r="A6" s="3"/>
      <c r="C6" s="2">
        <v>-15</v>
      </c>
      <c r="D6" s="2"/>
      <c r="E6" s="5"/>
      <c r="F6" s="5"/>
      <c r="G6" s="5">
        <v>16</v>
      </c>
      <c r="H6" s="5">
        <v>6.91</v>
      </c>
      <c r="I6" s="16"/>
      <c r="J6" s="5"/>
      <c r="K6" s="5">
        <f>G6/H6</f>
        <v>2.3154848046309695</v>
      </c>
      <c r="L6" s="17"/>
      <c r="M6" s="6">
        <v>55</v>
      </c>
      <c r="N6" s="13"/>
      <c r="O6" s="13">
        <v>-15</v>
      </c>
      <c r="P6" s="13"/>
      <c r="Q6" s="5"/>
      <c r="R6" s="5"/>
      <c r="S6" s="5">
        <v>16</v>
      </c>
      <c r="T6" s="5">
        <v>9.9700000000000006</v>
      </c>
      <c r="U6" s="5"/>
      <c r="V6" s="5"/>
      <c r="W6" s="5">
        <f>S6/T6</f>
        <v>1.6048144433299898</v>
      </c>
      <c r="X6" s="19"/>
      <c r="Y6" s="17"/>
      <c r="Z6" s="5"/>
      <c r="AA6" s="5"/>
      <c r="AB6" s="5"/>
      <c r="AC6" s="5"/>
      <c r="AD6" s="13"/>
      <c r="AE6" s="13" t="s">
        <v>38</v>
      </c>
      <c r="AF6" s="7">
        <v>15.5</v>
      </c>
      <c r="AG6" s="7">
        <v>5.3</v>
      </c>
      <c r="AH6" s="7">
        <v>3.83</v>
      </c>
    </row>
    <row r="7" spans="1:37" x14ac:dyDescent="0.4">
      <c r="A7" s="3"/>
      <c r="C7" s="2">
        <v>-10</v>
      </c>
      <c r="D7" s="2"/>
      <c r="E7" s="5"/>
      <c r="F7" s="5"/>
      <c r="G7" s="5"/>
      <c r="H7" s="5"/>
      <c r="I7" s="16"/>
      <c r="J7" s="5"/>
      <c r="K7" s="5"/>
      <c r="L7" s="17"/>
      <c r="M7" s="6">
        <v>60</v>
      </c>
      <c r="N7" s="13"/>
      <c r="O7" s="13">
        <v>-10</v>
      </c>
      <c r="P7" s="13"/>
      <c r="Q7" s="5"/>
      <c r="R7" s="5"/>
      <c r="S7" s="5"/>
      <c r="T7" s="5"/>
      <c r="U7" s="5"/>
      <c r="V7" s="5"/>
      <c r="W7" s="5"/>
      <c r="X7" s="19"/>
      <c r="Y7" s="17" t="s">
        <v>39</v>
      </c>
      <c r="Z7" s="5">
        <v>13</v>
      </c>
      <c r="AA7" s="5">
        <v>2.81</v>
      </c>
      <c r="AB7" s="5">
        <v>16</v>
      </c>
      <c r="AC7" s="5">
        <v>1.94</v>
      </c>
      <c r="AD7" s="13"/>
      <c r="AE7" s="13" t="s">
        <v>40</v>
      </c>
      <c r="AF7" s="7">
        <v>13.4</v>
      </c>
      <c r="AG7" s="7">
        <v>5.08</v>
      </c>
      <c r="AH7" s="7">
        <v>3.83</v>
      </c>
    </row>
    <row r="8" spans="1:37" x14ac:dyDescent="0.4">
      <c r="A8" s="3"/>
      <c r="C8" s="2">
        <v>-7</v>
      </c>
      <c r="D8" s="2"/>
      <c r="E8" s="5"/>
      <c r="F8" s="5"/>
      <c r="G8" s="5">
        <v>16</v>
      </c>
      <c r="H8" s="5">
        <v>6.7</v>
      </c>
      <c r="I8" s="16"/>
      <c r="J8" s="5"/>
      <c r="K8" s="5">
        <f>G8/H8</f>
        <v>2.3880597014925371</v>
      </c>
      <c r="L8" s="17"/>
      <c r="M8" s="6">
        <v>60</v>
      </c>
      <c r="N8" s="13"/>
      <c r="O8" s="13">
        <v>-7</v>
      </c>
      <c r="P8" s="13"/>
      <c r="Q8" s="5"/>
      <c r="R8" s="5"/>
      <c r="S8" s="5">
        <v>16</v>
      </c>
      <c r="T8" s="5">
        <v>9.33</v>
      </c>
      <c r="U8" s="5"/>
      <c r="V8" s="5"/>
      <c r="W8" s="5">
        <f>S8/T8</f>
        <v>1.714898177920686</v>
      </c>
      <c r="X8" s="19"/>
      <c r="Y8" s="5">
        <f>AA8*(1.029-(0.05*Z8/G10))</f>
        <v>2.869950625</v>
      </c>
      <c r="Z8" s="5">
        <v>11.5</v>
      </c>
      <c r="AA8" s="5">
        <v>2.89</v>
      </c>
      <c r="AB8" s="5">
        <v>14.1</v>
      </c>
      <c r="AC8" s="5">
        <v>2.02</v>
      </c>
      <c r="AD8" s="13"/>
      <c r="AE8" s="13"/>
      <c r="AF8" s="34"/>
      <c r="AG8" s="34"/>
      <c r="AH8" s="33"/>
      <c r="AK8" s="23"/>
    </row>
    <row r="9" spans="1:37" x14ac:dyDescent="0.4">
      <c r="A9" s="3"/>
      <c r="C9" s="2">
        <v>2</v>
      </c>
      <c r="D9" s="2"/>
      <c r="E9" s="5"/>
      <c r="F9" s="5"/>
      <c r="G9" s="5">
        <v>16</v>
      </c>
      <c r="H9" s="5">
        <v>5.16</v>
      </c>
      <c r="I9" s="16"/>
      <c r="J9" s="5"/>
      <c r="K9" s="5">
        <f>G9/H9</f>
        <v>3.1007751937984493</v>
      </c>
      <c r="L9" s="17"/>
      <c r="M9" s="6">
        <v>60</v>
      </c>
      <c r="N9" s="13"/>
      <c r="O9" s="13">
        <v>2</v>
      </c>
      <c r="P9" s="13"/>
      <c r="Q9" s="5"/>
      <c r="R9" s="5"/>
      <c r="S9" s="5">
        <v>16</v>
      </c>
      <c r="T9" s="5">
        <v>7.72</v>
      </c>
      <c r="U9" s="5"/>
      <c r="V9" s="5"/>
      <c r="W9" s="5">
        <f>S9/T9</f>
        <v>2.0725388601036272</v>
      </c>
      <c r="X9" s="19"/>
      <c r="Y9" s="5">
        <f>AA9*(0.906-(0.044*Z9/G10))</f>
        <v>3.8041575000000001</v>
      </c>
      <c r="Z9" s="5">
        <v>7</v>
      </c>
      <c r="AA9" s="5">
        <v>4.29</v>
      </c>
      <c r="AB9" s="5">
        <v>8.6</v>
      </c>
      <c r="AC9" s="5">
        <v>3.15</v>
      </c>
      <c r="AD9" s="13"/>
      <c r="AE9" s="13"/>
      <c r="AF9" s="34"/>
      <c r="AG9" s="34"/>
      <c r="AH9" s="33"/>
      <c r="AK9" s="23"/>
    </row>
    <row r="10" spans="1:37" x14ac:dyDescent="0.4">
      <c r="A10" s="3"/>
      <c r="C10" s="2">
        <v>7</v>
      </c>
      <c r="D10" s="2"/>
      <c r="E10" s="5"/>
      <c r="F10" s="5"/>
      <c r="G10" s="5">
        <v>16</v>
      </c>
      <c r="H10" s="5">
        <v>3.65</v>
      </c>
      <c r="I10" s="16"/>
      <c r="J10" s="5"/>
      <c r="K10" s="5">
        <f>G10/H10</f>
        <v>4.3835616438356162</v>
      </c>
      <c r="L10" s="17"/>
      <c r="M10" s="6">
        <v>60</v>
      </c>
      <c r="N10" s="13"/>
      <c r="O10" s="13">
        <v>7</v>
      </c>
      <c r="P10" s="13"/>
      <c r="Q10" s="5"/>
      <c r="R10" s="5"/>
      <c r="S10" s="5">
        <v>16</v>
      </c>
      <c r="T10" s="5">
        <v>5.88</v>
      </c>
      <c r="U10" s="5"/>
      <c r="V10" s="5"/>
      <c r="W10" s="5">
        <f>S10/T10</f>
        <v>2.7210884353741496</v>
      </c>
      <c r="X10" s="19"/>
      <c r="Y10" s="5">
        <f>K10</f>
        <v>4.3835616438356162</v>
      </c>
      <c r="Z10" s="5">
        <v>8.1</v>
      </c>
      <c r="AA10" s="5">
        <v>5.8</v>
      </c>
      <c r="AB10" s="5">
        <v>8</v>
      </c>
      <c r="AC10" s="5">
        <v>4.5</v>
      </c>
      <c r="AD10" s="13"/>
      <c r="AE10" s="13"/>
      <c r="AF10" s="34"/>
      <c r="AG10" s="34"/>
      <c r="AH10" s="33"/>
      <c r="AK10" s="23"/>
    </row>
    <row r="11" spans="1:37" x14ac:dyDescent="0.4">
      <c r="A11" s="3"/>
      <c r="C11" s="2">
        <v>12</v>
      </c>
      <c r="D11" s="2"/>
      <c r="E11" s="5"/>
      <c r="F11" s="5"/>
      <c r="G11" s="5"/>
      <c r="H11" s="5"/>
      <c r="I11" s="16"/>
      <c r="J11" s="5"/>
      <c r="K11" s="5"/>
      <c r="L11" s="17"/>
      <c r="M11" s="6">
        <v>60</v>
      </c>
      <c r="N11" s="13"/>
      <c r="O11" s="13">
        <v>12</v>
      </c>
      <c r="P11" s="13"/>
      <c r="Q11" s="5"/>
      <c r="R11" s="5"/>
      <c r="S11" s="5"/>
      <c r="T11" s="5"/>
      <c r="U11" s="5"/>
      <c r="V11" s="5"/>
      <c r="W11" s="5"/>
      <c r="X11" s="19"/>
      <c r="Y11" s="17"/>
      <c r="Z11" s="5">
        <v>9</v>
      </c>
      <c r="AA11" s="5">
        <v>7.13</v>
      </c>
      <c r="AB11" s="5">
        <v>9</v>
      </c>
      <c r="AC11" s="5">
        <v>5.72</v>
      </c>
      <c r="AD11" s="13"/>
      <c r="AE11" s="13"/>
      <c r="AF11" s="34"/>
      <c r="AG11" s="34"/>
      <c r="AH11" s="33"/>
    </row>
    <row r="12" spans="1:37" x14ac:dyDescent="0.4">
      <c r="A12" s="8"/>
      <c r="B12" s="8"/>
      <c r="C12" s="9"/>
      <c r="D12" s="9"/>
      <c r="E12" s="18"/>
      <c r="F12" s="18"/>
      <c r="G12" s="30"/>
      <c r="H12" s="30"/>
      <c r="I12" s="30"/>
      <c r="J12" s="30"/>
      <c r="K12" s="30"/>
      <c r="L12" s="18"/>
      <c r="M12" s="30"/>
      <c r="N12" s="14"/>
      <c r="O12" s="14"/>
      <c r="P12" s="14"/>
      <c r="Q12" s="18"/>
      <c r="R12" s="18"/>
      <c r="S12" s="30"/>
      <c r="T12" s="30"/>
      <c r="U12" s="30"/>
      <c r="V12" s="30"/>
      <c r="W12" s="30"/>
      <c r="X12" s="18"/>
      <c r="Y12" s="31"/>
      <c r="Z12" s="31"/>
      <c r="AA12" s="31"/>
      <c r="AB12" s="31"/>
      <c r="AC12" s="31"/>
      <c r="AD12" s="14"/>
      <c r="AE12" s="14"/>
      <c r="AF12" s="30"/>
      <c r="AG12" s="30"/>
      <c r="AH12" s="30"/>
    </row>
    <row r="13" spans="1:37" s="1" customFormat="1" x14ac:dyDescent="0.4">
      <c r="A13" s="3" t="s">
        <v>129</v>
      </c>
      <c r="B13" s="1" t="s">
        <v>83</v>
      </c>
      <c r="C13" s="4">
        <v>-28</v>
      </c>
      <c r="D13" s="2"/>
      <c r="E13" s="5"/>
      <c r="F13" s="5"/>
      <c r="G13" s="5"/>
      <c r="H13" s="5"/>
      <c r="I13" s="16"/>
      <c r="J13" s="5"/>
      <c r="K13" s="5"/>
      <c r="L13" s="17"/>
      <c r="M13" s="6">
        <v>55</v>
      </c>
      <c r="N13" s="13"/>
      <c r="O13" s="4">
        <v>-28</v>
      </c>
      <c r="P13" s="13"/>
      <c r="Q13" s="5"/>
      <c r="R13" s="5"/>
      <c r="S13" s="5"/>
      <c r="T13" s="5"/>
      <c r="U13" s="5"/>
      <c r="V13" s="5"/>
      <c r="W13" s="5"/>
      <c r="X13" s="4">
        <v>9</v>
      </c>
      <c r="Y13" s="17"/>
      <c r="Z13" s="5"/>
      <c r="AA13" s="5"/>
      <c r="AB13" s="5"/>
      <c r="AC13" s="5"/>
      <c r="AD13" s="13"/>
      <c r="AE13" s="13" t="s">
        <v>37</v>
      </c>
      <c r="AF13" s="7">
        <v>13.4</v>
      </c>
      <c r="AG13" s="7">
        <v>5.08</v>
      </c>
      <c r="AH13" s="7">
        <f>AF13/AG13</f>
        <v>2.6377952755905514</v>
      </c>
    </row>
    <row r="14" spans="1:37" x14ac:dyDescent="0.4">
      <c r="A14" s="3"/>
      <c r="C14" s="13">
        <v>-20</v>
      </c>
      <c r="D14" s="2"/>
      <c r="E14" s="5"/>
      <c r="F14" s="5"/>
      <c r="G14" s="5">
        <v>16</v>
      </c>
      <c r="H14" s="5">
        <v>8.1999999999999993</v>
      </c>
      <c r="I14" s="16"/>
      <c r="J14" s="5"/>
      <c r="K14" s="5">
        <f>G14/H14</f>
        <v>1.9512195121951221</v>
      </c>
      <c r="L14" s="17"/>
      <c r="M14" s="6">
        <v>55</v>
      </c>
      <c r="N14" s="13"/>
      <c r="O14" s="13">
        <v>-20</v>
      </c>
      <c r="P14" s="13"/>
      <c r="Q14" s="5"/>
      <c r="R14" s="5"/>
      <c r="S14" s="5">
        <v>12</v>
      </c>
      <c r="T14" s="5">
        <v>9.3000000000000007</v>
      </c>
      <c r="U14" s="5"/>
      <c r="V14" s="5"/>
      <c r="W14" s="5">
        <f>S14/T14</f>
        <v>1.2903225806451613</v>
      </c>
      <c r="X14" s="19"/>
      <c r="Y14" s="17"/>
      <c r="Z14" s="5"/>
      <c r="AA14" s="5"/>
      <c r="AB14" s="5"/>
      <c r="AC14" s="5"/>
      <c r="AD14" s="13"/>
      <c r="AE14" s="13"/>
      <c r="AF14" s="7"/>
      <c r="AG14" s="7"/>
      <c r="AH14" s="7"/>
    </row>
    <row r="15" spans="1:37" x14ac:dyDescent="0.4">
      <c r="A15" s="3"/>
      <c r="C15" s="2">
        <v>-15</v>
      </c>
      <c r="D15" s="2"/>
      <c r="E15" s="5"/>
      <c r="F15" s="5"/>
      <c r="G15" s="5">
        <v>16</v>
      </c>
      <c r="H15" s="5">
        <v>6.91</v>
      </c>
      <c r="I15" s="16"/>
      <c r="J15" s="5"/>
      <c r="K15" s="5">
        <f>G15/H15</f>
        <v>2.3154848046309695</v>
      </c>
      <c r="L15" s="17"/>
      <c r="M15" s="6">
        <v>55</v>
      </c>
      <c r="N15" s="13"/>
      <c r="O15" s="13">
        <v>-15</v>
      </c>
      <c r="P15" s="13"/>
      <c r="Q15" s="5"/>
      <c r="R15" s="5"/>
      <c r="S15" s="5">
        <v>16</v>
      </c>
      <c r="T15" s="5">
        <v>9.9700000000000006</v>
      </c>
      <c r="U15" s="5"/>
      <c r="V15" s="5"/>
      <c r="W15" s="5">
        <f>S15/T15</f>
        <v>1.6048144433299898</v>
      </c>
      <c r="X15" s="19"/>
      <c r="Y15" s="17"/>
      <c r="Z15" s="5"/>
      <c r="AA15" s="5"/>
      <c r="AB15" s="5"/>
      <c r="AC15" s="5"/>
      <c r="AD15" s="13"/>
      <c r="AE15" s="13" t="s">
        <v>38</v>
      </c>
      <c r="AF15" s="7">
        <v>15.5</v>
      </c>
      <c r="AG15" s="7">
        <v>5.3</v>
      </c>
      <c r="AH15" s="7">
        <v>3.83</v>
      </c>
    </row>
    <row r="16" spans="1:37" x14ac:dyDescent="0.4">
      <c r="A16" s="3"/>
      <c r="C16" s="2">
        <v>-10</v>
      </c>
      <c r="D16" s="2"/>
      <c r="E16" s="5"/>
      <c r="F16" s="5"/>
      <c r="G16" s="5"/>
      <c r="H16" s="5"/>
      <c r="I16" s="16"/>
      <c r="J16" s="5"/>
      <c r="K16" s="5"/>
      <c r="L16" s="17"/>
      <c r="M16" s="6">
        <v>60</v>
      </c>
      <c r="N16" s="13"/>
      <c r="O16" s="13">
        <v>-10</v>
      </c>
      <c r="P16" s="13"/>
      <c r="Q16" s="5"/>
      <c r="R16" s="5"/>
      <c r="S16" s="5"/>
      <c r="T16" s="5"/>
      <c r="U16" s="5"/>
      <c r="V16" s="5"/>
      <c r="W16" s="5"/>
      <c r="X16" s="19"/>
      <c r="Y16" s="17" t="s">
        <v>39</v>
      </c>
      <c r="Z16" s="5">
        <v>13</v>
      </c>
      <c r="AA16" s="5">
        <v>2.81</v>
      </c>
      <c r="AB16" s="5">
        <v>16</v>
      </c>
      <c r="AC16" s="5">
        <v>1.94</v>
      </c>
      <c r="AD16" s="13"/>
      <c r="AE16" s="13" t="s">
        <v>40</v>
      </c>
      <c r="AF16" s="7">
        <v>13.4</v>
      </c>
      <c r="AG16" s="7">
        <v>5.08</v>
      </c>
      <c r="AH16" s="7">
        <v>3.83</v>
      </c>
    </row>
    <row r="17" spans="1:37" x14ac:dyDescent="0.4">
      <c r="A17" s="3"/>
      <c r="C17" s="2">
        <v>-7</v>
      </c>
      <c r="D17" s="2"/>
      <c r="E17" s="5"/>
      <c r="F17" s="5"/>
      <c r="G17" s="5">
        <v>16</v>
      </c>
      <c r="H17" s="5">
        <v>6.7</v>
      </c>
      <c r="I17" s="16"/>
      <c r="J17" s="5"/>
      <c r="K17" s="5">
        <f>G17/H17</f>
        <v>2.3880597014925371</v>
      </c>
      <c r="L17" s="17"/>
      <c r="M17" s="6">
        <v>60</v>
      </c>
      <c r="N17" s="13"/>
      <c r="O17" s="13">
        <v>-7</v>
      </c>
      <c r="P17" s="13"/>
      <c r="Q17" s="5"/>
      <c r="R17" s="5"/>
      <c r="S17" s="5">
        <v>16</v>
      </c>
      <c r="T17" s="5">
        <v>9.33</v>
      </c>
      <c r="U17" s="5"/>
      <c r="V17" s="5"/>
      <c r="W17" s="5">
        <f>S17/T17</f>
        <v>1.714898177920686</v>
      </c>
      <c r="X17" s="19"/>
      <c r="Y17" s="5">
        <f>AA17*(1.029-(0.05*Z17/G19))</f>
        <v>2.869950625</v>
      </c>
      <c r="Z17" s="5">
        <v>11.5</v>
      </c>
      <c r="AA17" s="5">
        <v>2.89</v>
      </c>
      <c r="AB17" s="5">
        <v>14.1</v>
      </c>
      <c r="AC17" s="5">
        <v>2.02</v>
      </c>
      <c r="AD17" s="13"/>
      <c r="AE17" s="13"/>
      <c r="AF17" s="34"/>
      <c r="AG17" s="34"/>
      <c r="AH17" s="33"/>
      <c r="AK17" s="23"/>
    </row>
    <row r="18" spans="1:37" x14ac:dyDescent="0.4">
      <c r="A18" s="3"/>
      <c r="C18" s="2">
        <v>2</v>
      </c>
      <c r="D18" s="2"/>
      <c r="E18" s="5"/>
      <c r="F18" s="5"/>
      <c r="G18" s="5">
        <v>16</v>
      </c>
      <c r="H18" s="5">
        <v>5.16</v>
      </c>
      <c r="I18" s="16"/>
      <c r="J18" s="5"/>
      <c r="K18" s="5">
        <f>G18/H18</f>
        <v>3.1007751937984493</v>
      </c>
      <c r="L18" s="17"/>
      <c r="M18" s="6">
        <v>60</v>
      </c>
      <c r="N18" s="13"/>
      <c r="O18" s="13">
        <v>2</v>
      </c>
      <c r="P18" s="13"/>
      <c r="Q18" s="5"/>
      <c r="R18" s="5"/>
      <c r="S18" s="5">
        <v>16</v>
      </c>
      <c r="T18" s="5">
        <v>7.72</v>
      </c>
      <c r="U18" s="5"/>
      <c r="V18" s="5"/>
      <c r="W18" s="5">
        <f>S18/T18</f>
        <v>2.0725388601036272</v>
      </c>
      <c r="X18" s="19"/>
      <c r="Y18" s="5">
        <f>AA18*(0.906-(0.044*Z18/G19))</f>
        <v>3.8041575000000001</v>
      </c>
      <c r="Z18" s="5">
        <v>7</v>
      </c>
      <c r="AA18" s="5">
        <v>4.29</v>
      </c>
      <c r="AB18" s="5">
        <v>8.6</v>
      </c>
      <c r="AC18" s="5">
        <v>3.15</v>
      </c>
      <c r="AD18" s="13"/>
      <c r="AE18" s="13"/>
      <c r="AF18" s="34"/>
      <c r="AG18" s="34"/>
      <c r="AH18" s="33"/>
      <c r="AK18" s="23"/>
    </row>
    <row r="19" spans="1:37" x14ac:dyDescent="0.4">
      <c r="A19" s="3"/>
      <c r="C19" s="2">
        <v>7</v>
      </c>
      <c r="D19" s="2"/>
      <c r="E19" s="5"/>
      <c r="F19" s="5"/>
      <c r="G19" s="5">
        <v>16</v>
      </c>
      <c r="H19" s="5">
        <v>3.65</v>
      </c>
      <c r="I19" s="16"/>
      <c r="J19" s="5"/>
      <c r="K19" s="5">
        <f>G19/H19</f>
        <v>4.3835616438356162</v>
      </c>
      <c r="L19" s="17"/>
      <c r="M19" s="6">
        <v>60</v>
      </c>
      <c r="N19" s="13"/>
      <c r="O19" s="13">
        <v>7</v>
      </c>
      <c r="P19" s="13"/>
      <c r="Q19" s="5"/>
      <c r="R19" s="5"/>
      <c r="S19" s="5">
        <v>16</v>
      </c>
      <c r="T19" s="5">
        <v>5.88</v>
      </c>
      <c r="U19" s="5"/>
      <c r="V19" s="5"/>
      <c r="W19" s="5">
        <f>S19/T19</f>
        <v>2.7210884353741496</v>
      </c>
      <c r="X19" s="19"/>
      <c r="Y19" s="5">
        <f>K19</f>
        <v>4.3835616438356162</v>
      </c>
      <c r="Z19" s="5">
        <v>8.1</v>
      </c>
      <c r="AA19" s="5">
        <v>5.8</v>
      </c>
      <c r="AB19" s="5">
        <v>8</v>
      </c>
      <c r="AC19" s="5">
        <v>4.5</v>
      </c>
      <c r="AD19" s="13"/>
      <c r="AE19" s="13"/>
      <c r="AF19" s="34"/>
      <c r="AG19" s="34"/>
      <c r="AH19" s="33"/>
      <c r="AK19" s="23"/>
    </row>
    <row r="20" spans="1:37" x14ac:dyDescent="0.4">
      <c r="A20" s="3"/>
      <c r="C20" s="2">
        <v>12</v>
      </c>
      <c r="D20" s="2"/>
      <c r="E20" s="5"/>
      <c r="F20" s="5"/>
      <c r="G20" s="5"/>
      <c r="H20" s="5"/>
      <c r="I20" s="16"/>
      <c r="J20" s="5"/>
      <c r="K20" s="5"/>
      <c r="L20" s="17"/>
      <c r="M20" s="6">
        <v>60</v>
      </c>
      <c r="N20" s="13"/>
      <c r="O20" s="13">
        <v>12</v>
      </c>
      <c r="P20" s="13"/>
      <c r="Q20" s="5"/>
      <c r="R20" s="5"/>
      <c r="S20" s="5"/>
      <c r="T20" s="5"/>
      <c r="U20" s="5"/>
      <c r="V20" s="5"/>
      <c r="W20" s="5"/>
      <c r="X20" s="19"/>
      <c r="Y20" s="17"/>
      <c r="Z20" s="5">
        <v>9</v>
      </c>
      <c r="AA20" s="5">
        <v>7.13</v>
      </c>
      <c r="AB20" s="5">
        <v>9</v>
      </c>
      <c r="AC20" s="5">
        <v>5.72</v>
      </c>
      <c r="AD20" s="13"/>
      <c r="AE20" s="13"/>
      <c r="AF20" s="34"/>
      <c r="AG20" s="34"/>
      <c r="AH20" s="33"/>
    </row>
    <row r="21" spans="1:37" x14ac:dyDescent="0.4">
      <c r="A21" s="8"/>
      <c r="B21" s="8"/>
      <c r="C21" s="9"/>
      <c r="D21" s="9"/>
      <c r="E21" s="18"/>
      <c r="F21" s="18"/>
      <c r="G21" s="30"/>
      <c r="H21" s="30"/>
      <c r="I21" s="30"/>
      <c r="J21" s="30"/>
      <c r="K21" s="30"/>
      <c r="L21" s="18"/>
      <c r="M21" s="30"/>
      <c r="N21" s="14"/>
      <c r="O21" s="14"/>
      <c r="P21" s="14"/>
      <c r="Q21" s="18"/>
      <c r="R21" s="18"/>
      <c r="S21" s="30"/>
      <c r="T21" s="30"/>
      <c r="U21" s="30"/>
      <c r="V21" s="30"/>
      <c r="W21" s="30"/>
      <c r="X21" s="18"/>
      <c r="Y21" s="31"/>
      <c r="Z21" s="31"/>
      <c r="AA21" s="31"/>
      <c r="AB21" s="31"/>
      <c r="AC21" s="31"/>
      <c r="AD21" s="14"/>
      <c r="AE21" s="14"/>
      <c r="AF21" s="30"/>
      <c r="AG21" s="30"/>
      <c r="AH21" s="30"/>
    </row>
    <row r="22" spans="1:37" x14ac:dyDescent="0.4">
      <c r="A22"/>
    </row>
    <row r="23" spans="1:37" x14ac:dyDescent="0.4">
      <c r="A23" s="1" t="s">
        <v>41</v>
      </c>
    </row>
    <row r="24" spans="1:37" x14ac:dyDescent="0.4">
      <c r="A24" t="s">
        <v>130</v>
      </c>
    </row>
    <row r="25" spans="1:37" x14ac:dyDescent="0.4">
      <c r="A25" t="s">
        <v>131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C724-B6F9-4F8D-9609-D9A690788920}">
  <sheetPr>
    <tabColor rgb="FFFFC000"/>
  </sheetPr>
  <dimension ref="A1:AJ52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Y57" sqref="Y57"/>
    </sheetView>
  </sheetViews>
  <sheetFormatPr baseColWidth="10" defaultColWidth="11.4609375" defaultRowHeight="14.6" x14ac:dyDescent="0.4"/>
  <cols>
    <col min="1" max="1" width="13.4609375" style="1" customWidth="1"/>
    <col min="2" max="2" width="27.23046875" style="1" bestFit="1" customWidth="1"/>
    <col min="3" max="3" width="13.4609375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7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/>
      <c r="B5" s="1" t="s">
        <v>132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3"/>
      <c r="O5" s="4">
        <v>-28</v>
      </c>
      <c r="P5" s="13"/>
      <c r="Q5" s="5"/>
      <c r="R5" s="5"/>
      <c r="S5" s="5"/>
      <c r="T5" s="5"/>
      <c r="U5" s="5"/>
      <c r="V5" s="5"/>
      <c r="W5" s="5"/>
      <c r="X5" s="4">
        <v>0</v>
      </c>
      <c r="Y5" s="17"/>
      <c r="Z5" s="5"/>
      <c r="AA5" s="5"/>
      <c r="AB5" s="5"/>
      <c r="AC5" s="5"/>
      <c r="AD5" s="13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46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17"/>
      <c r="M6" s="6">
        <v>55</v>
      </c>
      <c r="N6" s="13"/>
      <c r="O6" s="13">
        <v>-25</v>
      </c>
      <c r="P6" s="13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3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3"/>
      <c r="O7" s="13">
        <v>-20</v>
      </c>
      <c r="P7" s="13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3"/>
      <c r="Y7" s="17"/>
      <c r="Z7" s="5"/>
      <c r="AA7" s="5"/>
      <c r="AB7" s="5"/>
      <c r="AC7" s="5"/>
      <c r="AD7" s="13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3"/>
      <c r="O8" s="13">
        <v>-15</v>
      </c>
      <c r="P8" s="13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3"/>
      <c r="Y8" s="17"/>
      <c r="Z8" s="5"/>
      <c r="AA8" s="5"/>
      <c r="AB8" s="5"/>
      <c r="AC8" s="5"/>
      <c r="AD8" s="13"/>
      <c r="AE8" s="13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3"/>
      <c r="O9" s="13">
        <v>-10</v>
      </c>
      <c r="P9" s="13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3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3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3"/>
      <c r="O10" s="13">
        <v>-7</v>
      </c>
      <c r="P10" s="13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3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3"/>
      <c r="AE10" s="13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3"/>
      <c r="O11" s="13">
        <v>2</v>
      </c>
      <c r="P11" s="13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3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3"/>
      <c r="AE11" s="13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3"/>
      <c r="O12" s="13">
        <v>7</v>
      </c>
      <c r="P12" s="13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3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3"/>
      <c r="AE12" s="13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3"/>
      <c r="O13" s="13">
        <v>12</v>
      </c>
      <c r="P13" s="13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3"/>
      <c r="Y13" s="17"/>
      <c r="Z13" s="5">
        <v>5.7</v>
      </c>
      <c r="AA13" s="5">
        <v>7.8</v>
      </c>
      <c r="AB13" s="5">
        <v>5.6</v>
      </c>
      <c r="AC13" s="5">
        <v>5.78</v>
      </c>
      <c r="AD13" s="13"/>
      <c r="AE13" s="13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22"/>
      <c r="H14" s="22"/>
      <c r="I14" s="22"/>
      <c r="J14" s="22"/>
      <c r="K14" s="22"/>
      <c r="L14" s="18"/>
      <c r="M14" s="18"/>
      <c r="N14" s="14"/>
      <c r="O14" s="14"/>
      <c r="P14" s="14"/>
      <c r="Q14" s="18"/>
      <c r="R14" s="22"/>
      <c r="S14" s="22"/>
      <c r="T14" s="22"/>
      <c r="U14" s="22"/>
      <c r="V14" s="22"/>
      <c r="W14" s="22"/>
      <c r="X14" s="18"/>
      <c r="Y14" s="22"/>
      <c r="Z14" s="22"/>
      <c r="AA14" s="22"/>
      <c r="AB14" s="22"/>
      <c r="AC14" s="22"/>
      <c r="AD14" s="18"/>
      <c r="AE14" s="14"/>
      <c r="AF14" s="18"/>
      <c r="AG14" s="18"/>
      <c r="AH14" s="18"/>
    </row>
    <row r="15" spans="1:34" x14ac:dyDescent="0.4">
      <c r="A15" s="3"/>
      <c r="B15" s="1" t="s">
        <v>133</v>
      </c>
      <c r="C15" s="4">
        <v>-28</v>
      </c>
      <c r="D15" s="2"/>
      <c r="E15" s="5"/>
      <c r="F15" s="5"/>
      <c r="G15" s="5"/>
      <c r="H15" s="5"/>
      <c r="I15" s="5"/>
      <c r="J15" s="5"/>
      <c r="K15" s="5"/>
      <c r="L15" s="17"/>
      <c r="M15" s="6">
        <v>55</v>
      </c>
      <c r="N15" s="13"/>
      <c r="O15" s="4">
        <v>-28</v>
      </c>
      <c r="P15" s="13"/>
      <c r="Q15" s="5"/>
      <c r="R15" s="5"/>
      <c r="S15" s="5"/>
      <c r="T15" s="5"/>
      <c r="U15" s="5"/>
      <c r="V15" s="5"/>
      <c r="W15" s="5"/>
      <c r="X15" s="4">
        <v>0</v>
      </c>
      <c r="Y15" s="17"/>
      <c r="Z15" s="5"/>
      <c r="AA15" s="5"/>
      <c r="AB15" s="5"/>
      <c r="AC15" s="5"/>
      <c r="AD15" s="13"/>
      <c r="AE15" s="13" t="s">
        <v>37</v>
      </c>
      <c r="AF15" s="7">
        <v>12</v>
      </c>
      <c r="AG15" s="7">
        <v>4.21</v>
      </c>
      <c r="AH15" s="7">
        <f>AF15/AG15</f>
        <v>2.8503562945368173</v>
      </c>
    </row>
    <row r="16" spans="1:34" x14ac:dyDescent="0.4">
      <c r="A16" s="46"/>
      <c r="C16" s="13">
        <v>-25</v>
      </c>
      <c r="D16" s="2"/>
      <c r="E16" s="5"/>
      <c r="F16" s="5"/>
      <c r="G16" s="5">
        <v>10.5</v>
      </c>
      <c r="H16" s="5">
        <v>5.55</v>
      </c>
      <c r="I16" s="5"/>
      <c r="J16" s="5"/>
      <c r="K16" s="5">
        <v>1.8918918918918919</v>
      </c>
      <c r="L16" s="17"/>
      <c r="M16" s="6">
        <v>55</v>
      </c>
      <c r="N16" s="13"/>
      <c r="O16" s="13">
        <v>-25</v>
      </c>
      <c r="P16" s="13"/>
      <c r="Q16" s="5"/>
      <c r="R16" s="5"/>
      <c r="S16" s="5">
        <v>9.6999999999999993</v>
      </c>
      <c r="T16" s="5">
        <v>7.4</v>
      </c>
      <c r="U16" s="5"/>
      <c r="V16" s="5"/>
      <c r="W16" s="5">
        <v>1.3108108108108107</v>
      </c>
      <c r="X16" s="19"/>
      <c r="Y16" s="17"/>
      <c r="Z16" s="5"/>
      <c r="AA16" s="5"/>
      <c r="AB16" s="5"/>
      <c r="AC16" s="5"/>
      <c r="AD16" s="13"/>
      <c r="AE16" s="13"/>
      <c r="AF16" s="7"/>
      <c r="AG16" s="7"/>
      <c r="AH16" s="7"/>
    </row>
    <row r="17" spans="1:36" x14ac:dyDescent="0.4">
      <c r="A17" s="3"/>
      <c r="C17" s="13">
        <v>-20</v>
      </c>
      <c r="D17" s="2"/>
      <c r="E17" s="5"/>
      <c r="F17" s="5"/>
      <c r="G17" s="5">
        <v>11.2</v>
      </c>
      <c r="H17" s="5">
        <v>4.75</v>
      </c>
      <c r="I17" s="5"/>
      <c r="J17" s="5"/>
      <c r="K17" s="5">
        <v>2.357894736842105</v>
      </c>
      <c r="L17" s="17"/>
      <c r="M17" s="6">
        <v>65</v>
      </c>
      <c r="N17" s="13"/>
      <c r="O17" s="13">
        <v>-20</v>
      </c>
      <c r="P17" s="13"/>
      <c r="Q17" s="5"/>
      <c r="R17" s="5"/>
      <c r="S17" s="5">
        <v>10.8</v>
      </c>
      <c r="T17" s="5">
        <v>6.45</v>
      </c>
      <c r="U17" s="5"/>
      <c r="V17" s="5"/>
      <c r="W17" s="5">
        <v>1.6744186046511629</v>
      </c>
      <c r="X17" s="19"/>
      <c r="Y17" s="17"/>
      <c r="Z17" s="5"/>
      <c r="AA17" s="5"/>
      <c r="AB17" s="5"/>
      <c r="AC17" s="5"/>
      <c r="AD17" s="13"/>
      <c r="AE17" s="13" t="s">
        <v>38</v>
      </c>
      <c r="AF17" s="7">
        <v>13.2</v>
      </c>
      <c r="AG17" s="7">
        <v>3.25</v>
      </c>
      <c r="AH17" s="7">
        <f>AF17/AG17</f>
        <v>4.0615384615384613</v>
      </c>
    </row>
    <row r="18" spans="1:36" x14ac:dyDescent="0.4">
      <c r="A18" s="3"/>
      <c r="C18" s="2">
        <v>-15</v>
      </c>
      <c r="D18" s="2"/>
      <c r="E18" s="5"/>
      <c r="F18" s="5"/>
      <c r="G18" s="5">
        <v>12</v>
      </c>
      <c r="H18" s="5">
        <v>4.5599999999999996</v>
      </c>
      <c r="I18" s="5"/>
      <c r="J18" s="5"/>
      <c r="K18" s="5">
        <v>2.6315789473684212</v>
      </c>
      <c r="L18" s="17"/>
      <c r="M18" s="6">
        <v>75</v>
      </c>
      <c r="N18" s="13"/>
      <c r="O18" s="13">
        <v>-15</v>
      </c>
      <c r="P18" s="13"/>
      <c r="Q18" s="5"/>
      <c r="R18" s="5"/>
      <c r="S18" s="5">
        <v>12</v>
      </c>
      <c r="T18" s="5">
        <v>6</v>
      </c>
      <c r="U18" s="5"/>
      <c r="V18" s="5"/>
      <c r="W18" s="5">
        <v>2</v>
      </c>
      <c r="X18" s="19"/>
      <c r="Y18" s="17"/>
      <c r="Z18" s="5"/>
      <c r="AA18" s="5"/>
      <c r="AB18" s="5"/>
      <c r="AC18" s="5"/>
      <c r="AD18" s="13"/>
      <c r="AE18" s="13" t="s">
        <v>40</v>
      </c>
      <c r="AF18" s="7">
        <v>12</v>
      </c>
      <c r="AG18" s="7">
        <v>2.8</v>
      </c>
      <c r="AH18" s="7">
        <f>AF18/AG18</f>
        <v>4.2857142857142856</v>
      </c>
    </row>
    <row r="19" spans="1:36" x14ac:dyDescent="0.4">
      <c r="A19" s="3"/>
      <c r="C19" s="2">
        <v>-10</v>
      </c>
      <c r="D19" s="2"/>
      <c r="E19" s="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3"/>
      <c r="O19" s="13">
        <v>-10</v>
      </c>
      <c r="P19" s="13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9"/>
      <c r="Y19" s="17" t="s">
        <v>39</v>
      </c>
      <c r="Z19" s="5">
        <v>12</v>
      </c>
      <c r="AA19" s="5">
        <v>2.91</v>
      </c>
      <c r="AB19" s="5">
        <v>12</v>
      </c>
      <c r="AC19" s="5">
        <v>2.12</v>
      </c>
      <c r="AD19" s="13"/>
    </row>
    <row r="20" spans="1:36" x14ac:dyDescent="0.4">
      <c r="A20" s="3"/>
      <c r="C20" s="2">
        <v>-7</v>
      </c>
      <c r="D20" s="2"/>
      <c r="E20" s="5"/>
      <c r="F20" s="5"/>
      <c r="G20" s="5">
        <v>12</v>
      </c>
      <c r="H20" s="5">
        <v>4</v>
      </c>
      <c r="I20" s="5"/>
      <c r="J20" s="5"/>
      <c r="K20" s="5">
        <v>3</v>
      </c>
      <c r="L20" s="17"/>
      <c r="M20" s="6">
        <v>75</v>
      </c>
      <c r="N20" s="13"/>
      <c r="O20" s="13">
        <v>-7</v>
      </c>
      <c r="P20" s="13"/>
      <c r="Q20" s="5"/>
      <c r="R20" s="5"/>
      <c r="S20" s="5">
        <v>12</v>
      </c>
      <c r="T20" s="5">
        <v>5.53</v>
      </c>
      <c r="U20" s="5"/>
      <c r="V20" s="5"/>
      <c r="W20" s="5">
        <v>2.1699819168173597</v>
      </c>
      <c r="X20" s="19"/>
      <c r="Y20" s="5">
        <f>AA20*(1.029-(0.05*Z20/G22))</f>
        <v>2.7476849999999997</v>
      </c>
      <c r="Z20" s="5">
        <v>10.6</v>
      </c>
      <c r="AA20" s="5">
        <v>2.79</v>
      </c>
      <c r="AB20" s="5">
        <v>10.6</v>
      </c>
      <c r="AC20" s="5">
        <v>2.2200000000000002</v>
      </c>
      <c r="AD20" s="13"/>
      <c r="AE20" s="13"/>
      <c r="AF20" s="19"/>
      <c r="AG20" s="19"/>
      <c r="AH20" s="20"/>
    </row>
    <row r="21" spans="1:36" x14ac:dyDescent="0.4">
      <c r="A21" s="3"/>
      <c r="C21" s="2">
        <v>2</v>
      </c>
      <c r="D21" s="2"/>
      <c r="E21" s="5"/>
      <c r="F21" s="5"/>
      <c r="G21" s="5">
        <v>12</v>
      </c>
      <c r="H21" s="5">
        <v>3.39</v>
      </c>
      <c r="I21" s="5"/>
      <c r="J21" s="5"/>
      <c r="K21" s="5">
        <v>3.5398230088495577</v>
      </c>
      <c r="L21" s="17"/>
      <c r="M21" s="6">
        <v>75</v>
      </c>
      <c r="N21" s="13"/>
      <c r="O21" s="13">
        <v>2</v>
      </c>
      <c r="P21" s="13"/>
      <c r="Q21" s="5"/>
      <c r="R21" s="5"/>
      <c r="S21" s="5">
        <v>12</v>
      </c>
      <c r="T21" s="5">
        <v>4.95</v>
      </c>
      <c r="U21" s="5"/>
      <c r="V21" s="5"/>
      <c r="W21" s="5">
        <v>2.4242424242424243</v>
      </c>
      <c r="X21" s="19"/>
      <c r="Y21" s="5">
        <f>AA21*(0.906-(0.044*Z21/G22))</f>
        <v>4.1020750000000001</v>
      </c>
      <c r="Z21" s="5">
        <v>6.5</v>
      </c>
      <c r="AA21" s="5">
        <v>4.6500000000000004</v>
      </c>
      <c r="AB21" s="5">
        <v>6.5</v>
      </c>
      <c r="AC21" s="5">
        <v>3.65</v>
      </c>
      <c r="AD21" s="13"/>
      <c r="AE21" s="13"/>
      <c r="AF21" s="19"/>
      <c r="AG21" s="19"/>
      <c r="AH21" s="20"/>
    </row>
    <row r="22" spans="1:36" x14ac:dyDescent="0.4">
      <c r="A22" s="3"/>
      <c r="C22" s="2">
        <v>7</v>
      </c>
      <c r="D22" s="2"/>
      <c r="E22" s="5"/>
      <c r="F22" s="5"/>
      <c r="G22" s="5">
        <v>12</v>
      </c>
      <c r="H22" s="5">
        <v>2.37</v>
      </c>
      <c r="I22" s="5"/>
      <c r="J22" s="5"/>
      <c r="K22" s="5">
        <v>5.0632911392405067</v>
      </c>
      <c r="L22" s="17"/>
      <c r="M22" s="6">
        <v>75</v>
      </c>
      <c r="N22" s="13"/>
      <c r="O22" s="13">
        <v>7</v>
      </c>
      <c r="P22" s="13"/>
      <c r="Q22" s="5"/>
      <c r="R22" s="5"/>
      <c r="S22" s="5">
        <v>12</v>
      </c>
      <c r="T22" s="5">
        <v>3.71</v>
      </c>
      <c r="U22" s="5"/>
      <c r="V22" s="5"/>
      <c r="W22" s="5">
        <v>3.2345013477088949</v>
      </c>
      <c r="X22" s="19"/>
      <c r="Y22" s="5">
        <f>K22</f>
        <v>5.0632911392405067</v>
      </c>
      <c r="Z22" s="5">
        <v>5.3</v>
      </c>
      <c r="AA22" s="5">
        <v>6.25</v>
      </c>
      <c r="AB22" s="5">
        <v>4.9000000000000004</v>
      </c>
      <c r="AC22" s="5">
        <v>4.57</v>
      </c>
      <c r="AD22" s="13"/>
      <c r="AE22" s="13"/>
      <c r="AF22" s="19"/>
      <c r="AG22" s="19"/>
      <c r="AH22" s="20"/>
    </row>
    <row r="23" spans="1:36" x14ac:dyDescent="0.4">
      <c r="A23" s="3"/>
      <c r="C23" s="2">
        <v>12</v>
      </c>
      <c r="D23" s="2"/>
      <c r="E23" s="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3"/>
      <c r="O23" s="13">
        <v>12</v>
      </c>
      <c r="P23" s="13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9"/>
      <c r="Y23" s="17"/>
      <c r="Z23" s="5">
        <v>6.1</v>
      </c>
      <c r="AA23" s="5">
        <v>7.78</v>
      </c>
      <c r="AB23" s="5">
        <v>5.7</v>
      </c>
      <c r="AC23" s="5">
        <v>5.84</v>
      </c>
      <c r="AD23" s="13"/>
      <c r="AE23" s="13"/>
      <c r="AF23" s="19"/>
      <c r="AG23" s="19"/>
      <c r="AH23" s="20"/>
    </row>
    <row r="24" spans="1:36" x14ac:dyDescent="0.4">
      <c r="A24" s="8"/>
      <c r="B24" s="8"/>
      <c r="C24" s="9"/>
      <c r="D24" s="9"/>
      <c r="E24" s="18"/>
      <c r="F24" s="18"/>
      <c r="G24" s="22"/>
      <c r="H24" s="22"/>
      <c r="I24" s="22"/>
      <c r="J24" s="22"/>
      <c r="K24" s="22"/>
      <c r="L24" s="18"/>
      <c r="M24" s="18"/>
      <c r="N24" s="14"/>
      <c r="O24" s="14"/>
      <c r="P24" s="14"/>
      <c r="Q24" s="18"/>
      <c r="R24" s="22"/>
      <c r="S24" s="22"/>
      <c r="T24" s="22"/>
      <c r="U24" s="22"/>
      <c r="V24" s="22"/>
      <c r="W24" s="22"/>
      <c r="X24" s="18"/>
      <c r="Y24" s="22"/>
      <c r="Z24" s="22"/>
      <c r="AA24" s="22"/>
      <c r="AB24" s="22"/>
      <c r="AC24" s="22"/>
      <c r="AD24" s="18"/>
      <c r="AE24" s="14"/>
      <c r="AF24" s="18"/>
      <c r="AG24" s="18"/>
      <c r="AH24" s="18"/>
    </row>
    <row r="25" spans="1:36" x14ac:dyDescent="0.4">
      <c r="A25" s="3"/>
      <c r="B25" s="1" t="s">
        <v>134</v>
      </c>
      <c r="C25" s="4">
        <v>-28</v>
      </c>
      <c r="D25" s="2"/>
      <c r="E25" s="35"/>
      <c r="F25" s="5"/>
      <c r="G25" s="5"/>
      <c r="H25" s="5"/>
      <c r="I25" s="5"/>
      <c r="J25" s="5"/>
      <c r="K25" s="5"/>
      <c r="L25" s="17"/>
      <c r="M25" s="6">
        <v>55</v>
      </c>
      <c r="N25" s="13"/>
      <c r="O25" s="4">
        <v>-28</v>
      </c>
      <c r="P25" s="13"/>
      <c r="Q25" s="5"/>
      <c r="R25" s="5"/>
      <c r="S25" s="5"/>
      <c r="T25" s="5"/>
      <c r="U25" s="5"/>
      <c r="V25" s="5"/>
      <c r="W25" s="5"/>
      <c r="X25" s="4">
        <v>0</v>
      </c>
      <c r="Y25" s="17"/>
      <c r="Z25" s="5"/>
      <c r="AA25" s="5"/>
      <c r="AB25" s="5"/>
      <c r="AC25" s="5"/>
      <c r="AD25" s="13"/>
      <c r="AE25" s="13" t="s">
        <v>37</v>
      </c>
      <c r="AF25" s="7">
        <v>9</v>
      </c>
      <c r="AG25" s="7">
        <v>2.4900000000000002</v>
      </c>
      <c r="AH25" s="7">
        <f>AF25/AG25</f>
        <v>3.6144578313253009</v>
      </c>
      <c r="AJ25" s="20"/>
    </row>
    <row r="26" spans="1:36" x14ac:dyDescent="0.4">
      <c r="A26" s="46"/>
      <c r="C26" s="13">
        <v>-25</v>
      </c>
      <c r="D26" s="2"/>
      <c r="E26" s="35"/>
      <c r="F26" s="5"/>
      <c r="G26" s="5">
        <v>8.1999999999999993</v>
      </c>
      <c r="H26" s="5">
        <v>4.2</v>
      </c>
      <c r="I26" s="5"/>
      <c r="J26" s="5"/>
      <c r="K26" s="5">
        <v>1.9523809523809523</v>
      </c>
      <c r="L26" s="17"/>
      <c r="M26" s="6">
        <v>55</v>
      </c>
      <c r="N26" s="13"/>
      <c r="O26" s="13">
        <v>-25</v>
      </c>
      <c r="P26" s="13"/>
      <c r="Q26" s="5"/>
      <c r="R26" s="5"/>
      <c r="S26" s="5">
        <v>7.6</v>
      </c>
      <c r="T26" s="5">
        <v>5.7</v>
      </c>
      <c r="U26" s="5"/>
      <c r="V26" s="5"/>
      <c r="W26" s="5">
        <v>1.3333333333333333</v>
      </c>
      <c r="X26" s="19"/>
      <c r="Y26" s="17"/>
      <c r="Z26" s="5"/>
      <c r="AA26" s="5"/>
      <c r="AB26" s="5"/>
      <c r="AC26" s="5"/>
      <c r="AD26" s="13"/>
      <c r="AE26" s="13"/>
      <c r="AF26" s="7"/>
      <c r="AG26" s="7"/>
      <c r="AH26" s="7"/>
    </row>
    <row r="27" spans="1:36" x14ac:dyDescent="0.4">
      <c r="A27" s="3"/>
      <c r="C27" s="13">
        <v>-20</v>
      </c>
      <c r="D27" s="2"/>
      <c r="E27" s="35"/>
      <c r="F27" s="5"/>
      <c r="G27" s="5">
        <v>8.1999999999999993</v>
      </c>
      <c r="H27" s="5">
        <v>3.34</v>
      </c>
      <c r="I27" s="5"/>
      <c r="J27" s="5"/>
      <c r="K27" s="5">
        <v>2.4550898203592815</v>
      </c>
      <c r="L27" s="17"/>
      <c r="M27" s="6">
        <v>65</v>
      </c>
      <c r="N27" s="13"/>
      <c r="O27" s="13">
        <v>-20</v>
      </c>
      <c r="P27" s="13"/>
      <c r="Q27" s="5"/>
      <c r="R27" s="5"/>
      <c r="S27" s="5">
        <v>7.6</v>
      </c>
      <c r="T27" s="5">
        <v>4.76</v>
      </c>
      <c r="U27" s="5"/>
      <c r="V27" s="5"/>
      <c r="W27" s="5">
        <v>1.596638655462185</v>
      </c>
      <c r="X27" s="13"/>
      <c r="Y27" s="17"/>
      <c r="Z27" s="5"/>
      <c r="AA27" s="5"/>
      <c r="AB27" s="5"/>
      <c r="AC27" s="5"/>
      <c r="AD27" s="13"/>
      <c r="AE27" s="13" t="s">
        <v>38</v>
      </c>
      <c r="AF27" s="7">
        <v>9.8000000000000007</v>
      </c>
      <c r="AG27" s="7">
        <v>2.63</v>
      </c>
      <c r="AH27" s="7">
        <f>AF27/AG27</f>
        <v>3.7262357414448672</v>
      </c>
    </row>
    <row r="28" spans="1:36" x14ac:dyDescent="0.4">
      <c r="A28" s="3"/>
      <c r="C28" s="2">
        <v>-15</v>
      </c>
      <c r="D28" s="2"/>
      <c r="E28" s="35"/>
      <c r="F28" s="5"/>
      <c r="G28" s="5">
        <v>9</v>
      </c>
      <c r="H28" s="5">
        <v>3.3</v>
      </c>
      <c r="I28" s="5"/>
      <c r="J28" s="5"/>
      <c r="K28" s="5">
        <v>2.7272727272727271</v>
      </c>
      <c r="L28" s="17"/>
      <c r="M28" s="6">
        <v>75</v>
      </c>
      <c r="N28" s="13"/>
      <c r="O28" s="13">
        <v>-15</v>
      </c>
      <c r="P28" s="13"/>
      <c r="Q28" s="5"/>
      <c r="R28" s="5"/>
      <c r="S28" s="5">
        <v>9</v>
      </c>
      <c r="T28" s="5">
        <v>4.4800000000000004</v>
      </c>
      <c r="U28" s="5"/>
      <c r="V28" s="5"/>
      <c r="W28" s="5">
        <v>2.0089285714285716</v>
      </c>
      <c r="X28" s="13"/>
      <c r="Y28" s="17"/>
      <c r="Z28" s="5"/>
      <c r="AA28" s="5"/>
      <c r="AB28" s="5"/>
      <c r="AC28" s="5"/>
      <c r="AD28" s="13"/>
      <c r="AE28" s="13" t="s">
        <v>40</v>
      </c>
      <c r="AF28" s="7">
        <v>9</v>
      </c>
      <c r="AG28" s="7">
        <v>1.71</v>
      </c>
      <c r="AH28" s="7">
        <f>AF28/AG28</f>
        <v>5.2631578947368425</v>
      </c>
    </row>
    <row r="29" spans="1:36" x14ac:dyDescent="0.4">
      <c r="A29" s="3"/>
      <c r="C29" s="2">
        <v>-10</v>
      </c>
      <c r="D29" s="2"/>
      <c r="E29" s="3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3"/>
      <c r="O29" s="13">
        <v>-10</v>
      </c>
      <c r="P29" s="13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3"/>
      <c r="Y29" s="17" t="s">
        <v>39</v>
      </c>
      <c r="Z29" s="5">
        <v>9</v>
      </c>
      <c r="AA29" s="5">
        <v>3.19</v>
      </c>
      <c r="AB29" s="5">
        <v>9</v>
      </c>
      <c r="AC29" s="5">
        <v>2.17</v>
      </c>
      <c r="AD29" s="13"/>
    </row>
    <row r="30" spans="1:36" x14ac:dyDescent="0.4">
      <c r="A30" s="3"/>
      <c r="C30" s="2">
        <v>-7</v>
      </c>
      <c r="D30" s="2"/>
      <c r="E30" s="35"/>
      <c r="F30" s="5"/>
      <c r="G30" s="5">
        <v>9</v>
      </c>
      <c r="H30" s="5">
        <v>2.61</v>
      </c>
      <c r="I30" s="5"/>
      <c r="J30" s="5"/>
      <c r="K30" s="5">
        <v>3.4482758620689653</v>
      </c>
      <c r="L30" s="17"/>
      <c r="M30" s="6">
        <v>75</v>
      </c>
      <c r="N30" s="13"/>
      <c r="O30" s="13">
        <v>-7</v>
      </c>
      <c r="P30" s="13"/>
      <c r="Q30" s="5"/>
      <c r="R30" s="5"/>
      <c r="S30" s="5">
        <v>9</v>
      </c>
      <c r="T30" s="5">
        <v>3.83</v>
      </c>
      <c r="U30" s="5"/>
      <c r="V30" s="5"/>
      <c r="W30" s="5">
        <v>2.3498694516971281</v>
      </c>
      <c r="X30" s="13"/>
      <c r="Y30" s="5">
        <f>AA30*(1.029-(0.05*Z30/G32))</f>
        <v>3.4656355555555556</v>
      </c>
      <c r="Z30" s="5">
        <v>8</v>
      </c>
      <c r="AA30" s="5">
        <v>3.52</v>
      </c>
      <c r="AB30" s="5">
        <v>8</v>
      </c>
      <c r="AC30" s="5">
        <v>2.4900000000000002</v>
      </c>
      <c r="AD30" s="13"/>
      <c r="AE30" s="13"/>
      <c r="AF30" s="19"/>
      <c r="AG30" s="19"/>
      <c r="AH30" s="20"/>
    </row>
    <row r="31" spans="1:36" x14ac:dyDescent="0.4">
      <c r="A31" s="3"/>
      <c r="C31" s="2">
        <v>2</v>
      </c>
      <c r="D31" s="2"/>
      <c r="E31" s="35"/>
      <c r="F31" s="5"/>
      <c r="G31" s="5">
        <v>9</v>
      </c>
      <c r="H31" s="5">
        <v>2.36</v>
      </c>
      <c r="I31" s="5"/>
      <c r="J31" s="5"/>
      <c r="K31" s="5">
        <v>3.8135593220338984</v>
      </c>
      <c r="L31" s="17"/>
      <c r="M31" s="6">
        <v>75</v>
      </c>
      <c r="N31" s="13"/>
      <c r="O31" s="13">
        <v>2</v>
      </c>
      <c r="P31" s="13"/>
      <c r="Q31" s="5"/>
      <c r="R31" s="5"/>
      <c r="S31" s="5">
        <v>9</v>
      </c>
      <c r="T31" s="5">
        <v>3.54</v>
      </c>
      <c r="U31" s="5"/>
      <c r="V31" s="5"/>
      <c r="W31" s="5">
        <v>2.5423728813559321</v>
      </c>
      <c r="X31" s="13"/>
      <c r="Y31" s="5">
        <f>AA31*(0.906-(0.044*Z31/G32))</f>
        <v>4.2690951111111115</v>
      </c>
      <c r="Z31" s="5">
        <v>4.9000000000000004</v>
      </c>
      <c r="AA31" s="5">
        <v>4.84</v>
      </c>
      <c r="AB31" s="5">
        <v>4.9000000000000004</v>
      </c>
      <c r="AC31" s="5">
        <v>3.29</v>
      </c>
      <c r="AD31" s="13"/>
      <c r="AE31" s="13"/>
      <c r="AF31" s="19"/>
      <c r="AG31" s="19"/>
      <c r="AH31" s="20"/>
    </row>
    <row r="32" spans="1:36" x14ac:dyDescent="0.4">
      <c r="A32" s="3"/>
      <c r="C32" s="2">
        <v>7</v>
      </c>
      <c r="D32" s="2"/>
      <c r="E32" s="35"/>
      <c r="F32" s="5"/>
      <c r="G32" s="5">
        <v>9</v>
      </c>
      <c r="H32" s="5">
        <v>1.72</v>
      </c>
      <c r="I32" s="5"/>
      <c r="J32" s="5"/>
      <c r="K32" s="5">
        <v>5.2325581395348841</v>
      </c>
      <c r="L32" s="17"/>
      <c r="M32" s="6">
        <v>75</v>
      </c>
      <c r="N32" s="13"/>
      <c r="O32" s="13">
        <v>7</v>
      </c>
      <c r="P32" s="13"/>
      <c r="Q32" s="5"/>
      <c r="R32" s="5"/>
      <c r="S32" s="5">
        <v>9</v>
      </c>
      <c r="T32" s="5">
        <v>2.78</v>
      </c>
      <c r="U32" s="5"/>
      <c r="V32" s="5"/>
      <c r="W32" s="5">
        <v>3.2374100719424459</v>
      </c>
      <c r="X32" s="13"/>
      <c r="Y32" s="5">
        <f>K32</f>
        <v>5.2325581395348841</v>
      </c>
      <c r="Z32" s="5">
        <v>4.8</v>
      </c>
      <c r="AA32" s="5">
        <v>6.15</v>
      </c>
      <c r="AB32" s="5">
        <v>4.7</v>
      </c>
      <c r="AC32" s="5">
        <v>4.42</v>
      </c>
      <c r="AD32" s="13"/>
      <c r="AE32" s="13"/>
      <c r="AF32" s="19"/>
      <c r="AG32" s="19"/>
      <c r="AH32" s="20"/>
    </row>
    <row r="33" spans="1:34" x14ac:dyDescent="0.4">
      <c r="A33" s="3"/>
      <c r="C33" s="2">
        <v>12</v>
      </c>
      <c r="D33" s="2"/>
      <c r="E33" s="3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3"/>
      <c r="O33" s="13">
        <v>12</v>
      </c>
      <c r="P33" s="13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3"/>
      <c r="Y33" s="17"/>
      <c r="Z33" s="5">
        <v>5.7</v>
      </c>
      <c r="AA33" s="5">
        <v>7.8</v>
      </c>
      <c r="AB33" s="5">
        <v>5.6</v>
      </c>
      <c r="AC33" s="5">
        <v>5.78</v>
      </c>
      <c r="AD33" s="13"/>
      <c r="AE33" s="13"/>
      <c r="AF33" s="19"/>
      <c r="AG33" s="19"/>
      <c r="AH33" s="20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4"/>
      <c r="O34" s="14"/>
      <c r="P34" s="14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4"/>
      <c r="AF34" s="18"/>
      <c r="AG34" s="18"/>
      <c r="AH34" s="18"/>
    </row>
    <row r="35" spans="1:34" x14ac:dyDescent="0.4">
      <c r="A35" s="3"/>
      <c r="B35" s="1" t="s">
        <v>135</v>
      </c>
      <c r="C35" s="4">
        <v>-28</v>
      </c>
      <c r="D35" s="2"/>
      <c r="E35" s="5"/>
      <c r="F35" s="5"/>
      <c r="G35" s="5"/>
      <c r="H35" s="5"/>
      <c r="I35" s="5"/>
      <c r="J35" s="5"/>
      <c r="K35" s="5"/>
      <c r="L35" s="17"/>
      <c r="M35" s="6">
        <v>55</v>
      </c>
      <c r="N35" s="13"/>
      <c r="O35" s="4">
        <v>-28</v>
      </c>
      <c r="P35" s="13"/>
      <c r="Q35" s="5"/>
      <c r="R35" s="5"/>
      <c r="S35" s="5"/>
      <c r="T35" s="5"/>
      <c r="U35" s="5"/>
      <c r="V35" s="5"/>
      <c r="W35" s="5"/>
      <c r="X35" s="4">
        <v>0</v>
      </c>
      <c r="Y35" s="17"/>
      <c r="Z35" s="5"/>
      <c r="AA35" s="5"/>
      <c r="AB35" s="5"/>
      <c r="AC35" s="5"/>
      <c r="AD35" s="13"/>
      <c r="AE35" s="13" t="s">
        <v>37</v>
      </c>
      <c r="AF35" s="7">
        <v>12</v>
      </c>
      <c r="AG35" s="7">
        <v>4.21</v>
      </c>
      <c r="AH35" s="7">
        <f>AF35/AG35</f>
        <v>2.8503562945368173</v>
      </c>
    </row>
    <row r="36" spans="1:34" x14ac:dyDescent="0.4">
      <c r="A36" s="46"/>
      <c r="C36" s="13">
        <v>-25</v>
      </c>
      <c r="D36" s="2"/>
      <c r="E36" s="5"/>
      <c r="F36" s="5"/>
      <c r="G36" s="5">
        <v>10.5</v>
      </c>
      <c r="H36" s="5">
        <v>5.55</v>
      </c>
      <c r="I36" s="5"/>
      <c r="J36" s="5"/>
      <c r="K36" s="5">
        <v>1.8918918918918919</v>
      </c>
      <c r="L36" s="17"/>
      <c r="M36" s="6">
        <v>55</v>
      </c>
      <c r="N36" s="13"/>
      <c r="O36" s="13">
        <v>-25</v>
      </c>
      <c r="P36" s="13"/>
      <c r="Q36" s="5"/>
      <c r="R36" s="5"/>
      <c r="S36" s="5">
        <v>9.6999999999999993</v>
      </c>
      <c r="T36" s="5">
        <v>7.4</v>
      </c>
      <c r="U36" s="5"/>
      <c r="V36" s="5"/>
      <c r="W36" s="5">
        <v>1.3108108108108107</v>
      </c>
      <c r="X36" s="19"/>
      <c r="Y36" s="17"/>
      <c r="Z36" s="5"/>
      <c r="AA36" s="5"/>
      <c r="AB36" s="5"/>
      <c r="AC36" s="5"/>
      <c r="AD36" s="13"/>
      <c r="AE36" s="13"/>
      <c r="AF36" s="7"/>
      <c r="AG36" s="7"/>
      <c r="AH36" s="7"/>
    </row>
    <row r="37" spans="1:34" x14ac:dyDescent="0.4">
      <c r="A37" s="3"/>
      <c r="C37" s="13">
        <v>-20</v>
      </c>
      <c r="D37" s="2"/>
      <c r="E37" s="5"/>
      <c r="F37" s="5"/>
      <c r="G37" s="5">
        <v>11.2</v>
      </c>
      <c r="H37" s="5">
        <v>4.75</v>
      </c>
      <c r="I37" s="5"/>
      <c r="J37" s="5"/>
      <c r="K37" s="5">
        <v>2.357894736842105</v>
      </c>
      <c r="L37" s="17"/>
      <c r="M37" s="6">
        <v>65</v>
      </c>
      <c r="N37" s="13"/>
      <c r="O37" s="13">
        <v>-20</v>
      </c>
      <c r="P37" s="13"/>
      <c r="Q37" s="5"/>
      <c r="R37" s="5"/>
      <c r="S37" s="5">
        <v>10.8</v>
      </c>
      <c r="T37" s="5">
        <v>6.45</v>
      </c>
      <c r="U37" s="5"/>
      <c r="V37" s="5"/>
      <c r="W37" s="5">
        <v>1.6744186046511629</v>
      </c>
      <c r="X37" s="19"/>
      <c r="Y37" s="17"/>
      <c r="Z37" s="5"/>
      <c r="AA37" s="5"/>
      <c r="AB37" s="5"/>
      <c r="AC37" s="5"/>
      <c r="AD37" s="13"/>
      <c r="AE37" s="13" t="s">
        <v>38</v>
      </c>
      <c r="AF37" s="7">
        <v>13.2</v>
      </c>
      <c r="AG37" s="7">
        <v>3.25</v>
      </c>
      <c r="AH37" s="7">
        <f>AF37/AG37</f>
        <v>4.0615384615384613</v>
      </c>
    </row>
    <row r="38" spans="1:34" x14ac:dyDescent="0.4">
      <c r="A38" s="3"/>
      <c r="C38" s="2">
        <v>-15</v>
      </c>
      <c r="D38" s="2"/>
      <c r="E38" s="5"/>
      <c r="F38" s="5"/>
      <c r="G38" s="5">
        <v>12</v>
      </c>
      <c r="H38" s="5">
        <v>4.5599999999999996</v>
      </c>
      <c r="I38" s="5"/>
      <c r="J38" s="5"/>
      <c r="K38" s="5">
        <v>2.6315789473684212</v>
      </c>
      <c r="L38" s="17"/>
      <c r="M38" s="6">
        <v>75</v>
      </c>
      <c r="N38" s="13"/>
      <c r="O38" s="13">
        <v>-15</v>
      </c>
      <c r="P38" s="13"/>
      <c r="Q38" s="5"/>
      <c r="R38" s="5"/>
      <c r="S38" s="5">
        <v>12</v>
      </c>
      <c r="T38" s="5">
        <v>6</v>
      </c>
      <c r="U38" s="5"/>
      <c r="V38" s="5"/>
      <c r="W38" s="5">
        <v>2</v>
      </c>
      <c r="X38" s="19"/>
      <c r="Y38" s="17"/>
      <c r="Z38" s="5"/>
      <c r="AA38" s="5"/>
      <c r="AB38" s="5"/>
      <c r="AC38" s="5"/>
      <c r="AD38" s="13"/>
      <c r="AE38" s="13" t="s">
        <v>40</v>
      </c>
      <c r="AF38" s="7">
        <v>12</v>
      </c>
      <c r="AG38" s="7">
        <v>2.8</v>
      </c>
      <c r="AH38" s="7">
        <f>AF38/AG38</f>
        <v>4.2857142857142856</v>
      </c>
    </row>
    <row r="39" spans="1:34" x14ac:dyDescent="0.4">
      <c r="A39" s="3"/>
      <c r="C39" s="2">
        <v>-10</v>
      </c>
      <c r="D39" s="2"/>
      <c r="E39" s="5"/>
      <c r="F39" s="5"/>
      <c r="G39" s="29" t="s">
        <v>61</v>
      </c>
      <c r="H39" s="29" t="s">
        <v>61</v>
      </c>
      <c r="I39" s="5"/>
      <c r="J39" s="5"/>
      <c r="K39" s="29" t="s">
        <v>61</v>
      </c>
      <c r="L39" s="17"/>
      <c r="M39" s="6">
        <v>75</v>
      </c>
      <c r="N39" s="13"/>
      <c r="O39" s="13">
        <v>-10</v>
      </c>
      <c r="P39" s="13"/>
      <c r="Q39" s="5"/>
      <c r="R39" s="5"/>
      <c r="S39" s="29" t="s">
        <v>61</v>
      </c>
      <c r="T39" s="29" t="s">
        <v>61</v>
      </c>
      <c r="U39" s="5"/>
      <c r="V39" s="5"/>
      <c r="W39" s="29" t="s">
        <v>61</v>
      </c>
      <c r="X39" s="19"/>
      <c r="Y39" s="17" t="s">
        <v>39</v>
      </c>
      <c r="Z39" s="5">
        <v>12</v>
      </c>
      <c r="AA39" s="5">
        <v>2.91</v>
      </c>
      <c r="AB39" s="5">
        <v>12</v>
      </c>
      <c r="AC39" s="5">
        <v>2.12</v>
      </c>
      <c r="AD39" s="13"/>
    </row>
    <row r="40" spans="1:34" x14ac:dyDescent="0.4">
      <c r="A40" s="3"/>
      <c r="C40" s="2">
        <v>-7</v>
      </c>
      <c r="D40" s="2"/>
      <c r="E40" s="5"/>
      <c r="F40" s="5"/>
      <c r="G40" s="5">
        <v>12</v>
      </c>
      <c r="H40" s="5">
        <v>4</v>
      </c>
      <c r="I40" s="5"/>
      <c r="J40" s="5"/>
      <c r="K40" s="5">
        <v>3</v>
      </c>
      <c r="L40" s="17"/>
      <c r="M40" s="6">
        <v>75</v>
      </c>
      <c r="N40" s="13"/>
      <c r="O40" s="13">
        <v>-7</v>
      </c>
      <c r="P40" s="13"/>
      <c r="Q40" s="5"/>
      <c r="R40" s="5"/>
      <c r="S40" s="5">
        <v>12</v>
      </c>
      <c r="T40" s="5">
        <v>5.53</v>
      </c>
      <c r="U40" s="5"/>
      <c r="V40" s="5"/>
      <c r="W40" s="5">
        <v>2.1699819168173597</v>
      </c>
      <c r="X40" s="19"/>
      <c r="Y40" s="5">
        <f>AA40*(1.029-(0.05*Z40/G42))</f>
        <v>2.7476849999999997</v>
      </c>
      <c r="Z40" s="5">
        <v>10.6</v>
      </c>
      <c r="AA40" s="5">
        <v>2.79</v>
      </c>
      <c r="AB40" s="5">
        <v>10.6</v>
      </c>
      <c r="AC40" s="5">
        <v>2.2200000000000002</v>
      </c>
      <c r="AD40" s="13"/>
      <c r="AE40" s="13"/>
      <c r="AF40" s="19"/>
      <c r="AG40" s="19"/>
      <c r="AH40" s="20"/>
    </row>
    <row r="41" spans="1:34" x14ac:dyDescent="0.4">
      <c r="A41" s="3"/>
      <c r="C41" s="2">
        <v>2</v>
      </c>
      <c r="D41" s="2"/>
      <c r="E41" s="5"/>
      <c r="F41" s="5"/>
      <c r="G41" s="5">
        <v>12</v>
      </c>
      <c r="H41" s="5">
        <v>3.39</v>
      </c>
      <c r="I41" s="5"/>
      <c r="J41" s="5"/>
      <c r="K41" s="5">
        <v>3.5398230088495577</v>
      </c>
      <c r="L41" s="17"/>
      <c r="M41" s="6">
        <v>75</v>
      </c>
      <c r="N41" s="13"/>
      <c r="O41" s="13">
        <v>2</v>
      </c>
      <c r="P41" s="13"/>
      <c r="Q41" s="5"/>
      <c r="R41" s="5"/>
      <c r="S41" s="5">
        <v>12</v>
      </c>
      <c r="T41" s="5">
        <v>4.95</v>
      </c>
      <c r="U41" s="5"/>
      <c r="V41" s="5"/>
      <c r="W41" s="5">
        <v>2.4242424242424243</v>
      </c>
      <c r="X41" s="19"/>
      <c r="Y41" s="5">
        <f>AA41*(0.906-(0.044*Z41/G42))</f>
        <v>4.1020750000000001</v>
      </c>
      <c r="Z41" s="5">
        <v>6.5</v>
      </c>
      <c r="AA41" s="5">
        <v>4.6500000000000004</v>
      </c>
      <c r="AB41" s="5">
        <v>6.5</v>
      </c>
      <c r="AC41" s="5">
        <v>3.65</v>
      </c>
      <c r="AD41" s="13"/>
      <c r="AE41" s="13"/>
      <c r="AF41" s="19"/>
      <c r="AG41" s="19"/>
      <c r="AH41" s="20"/>
    </row>
    <row r="42" spans="1:34" x14ac:dyDescent="0.4">
      <c r="A42" s="3"/>
      <c r="C42" s="2">
        <v>7</v>
      </c>
      <c r="D42" s="2"/>
      <c r="E42" s="5"/>
      <c r="F42" s="5"/>
      <c r="G42" s="5">
        <v>12</v>
      </c>
      <c r="H42" s="5">
        <v>2.37</v>
      </c>
      <c r="I42" s="5"/>
      <c r="J42" s="5"/>
      <c r="K42" s="5">
        <v>5.0632911392405067</v>
      </c>
      <c r="L42" s="17"/>
      <c r="M42" s="6">
        <v>75</v>
      </c>
      <c r="N42" s="13"/>
      <c r="O42" s="13">
        <v>7</v>
      </c>
      <c r="P42" s="13"/>
      <c r="Q42" s="5"/>
      <c r="R42" s="5"/>
      <c r="S42" s="5">
        <v>12</v>
      </c>
      <c r="T42" s="5">
        <v>3.71</v>
      </c>
      <c r="U42" s="5"/>
      <c r="V42" s="5"/>
      <c r="W42" s="5">
        <v>3.2345013477088949</v>
      </c>
      <c r="X42" s="19"/>
      <c r="Y42" s="5">
        <f>K42</f>
        <v>5.0632911392405067</v>
      </c>
      <c r="Z42" s="5">
        <v>5.3</v>
      </c>
      <c r="AA42" s="5">
        <v>6.25</v>
      </c>
      <c r="AB42" s="5">
        <v>4.9000000000000004</v>
      </c>
      <c r="AC42" s="5">
        <v>4.57</v>
      </c>
      <c r="AD42" s="13"/>
      <c r="AE42" s="13"/>
      <c r="AF42" s="19"/>
      <c r="AG42" s="19"/>
      <c r="AH42" s="20"/>
    </row>
    <row r="43" spans="1:34" x14ac:dyDescent="0.4">
      <c r="A43" s="3"/>
      <c r="C43" s="2">
        <v>12</v>
      </c>
      <c r="D43" s="2"/>
      <c r="E43" s="5"/>
      <c r="F43" s="5"/>
      <c r="G43" s="29" t="s">
        <v>61</v>
      </c>
      <c r="H43" s="29" t="s">
        <v>61</v>
      </c>
      <c r="I43" s="5"/>
      <c r="J43" s="5"/>
      <c r="K43" s="29" t="s">
        <v>61</v>
      </c>
      <c r="L43" s="17"/>
      <c r="M43" s="6">
        <v>75</v>
      </c>
      <c r="N43" s="13"/>
      <c r="O43" s="13">
        <v>12</v>
      </c>
      <c r="P43" s="13"/>
      <c r="Q43" s="5"/>
      <c r="R43" s="5"/>
      <c r="S43" s="29" t="s">
        <v>61</v>
      </c>
      <c r="T43" s="29" t="s">
        <v>61</v>
      </c>
      <c r="U43" s="5"/>
      <c r="V43" s="5"/>
      <c r="W43" s="29" t="s">
        <v>61</v>
      </c>
      <c r="X43" s="19"/>
      <c r="Y43" s="17"/>
      <c r="Z43" s="5">
        <v>6.1</v>
      </c>
      <c r="AA43" s="5">
        <v>7.78</v>
      </c>
      <c r="AB43" s="5">
        <v>5.7</v>
      </c>
      <c r="AC43" s="5">
        <v>5.84</v>
      </c>
      <c r="AD43" s="13"/>
      <c r="AE43" s="13"/>
      <c r="AF43" s="19"/>
      <c r="AG43" s="19"/>
      <c r="AH43" s="20"/>
    </row>
    <row r="44" spans="1:34" x14ac:dyDescent="0.4">
      <c r="A44" s="8"/>
      <c r="B44" s="8"/>
      <c r="C44" s="9"/>
      <c r="D44" s="9"/>
      <c r="E44" s="18"/>
      <c r="F44" s="18"/>
      <c r="G44" s="22"/>
      <c r="H44" s="22"/>
      <c r="I44" s="22"/>
      <c r="J44" s="22"/>
      <c r="K44" s="22"/>
      <c r="L44" s="18"/>
      <c r="M44" s="18"/>
      <c r="N44" s="14"/>
      <c r="O44" s="14"/>
      <c r="P44" s="14"/>
      <c r="Q44" s="18"/>
      <c r="R44" s="22"/>
      <c r="S44" s="22"/>
      <c r="T44" s="22"/>
      <c r="U44" s="22"/>
      <c r="V44" s="22"/>
      <c r="W44" s="22"/>
      <c r="X44" s="18"/>
      <c r="Y44" s="22"/>
      <c r="Z44" s="22"/>
      <c r="AA44" s="22"/>
      <c r="AB44" s="22"/>
      <c r="AC44" s="22"/>
      <c r="AD44" s="18"/>
      <c r="AE44" s="14"/>
      <c r="AF44" s="18"/>
      <c r="AG44" s="18"/>
      <c r="AH44" s="18"/>
    </row>
    <row r="46" spans="1:34" x14ac:dyDescent="0.4">
      <c r="A46" s="1" t="s">
        <v>143</v>
      </c>
    </row>
    <row r="48" spans="1:34" x14ac:dyDescent="0.4">
      <c r="A48" s="1" t="s">
        <v>132</v>
      </c>
    </row>
    <row r="49" spans="1:1" x14ac:dyDescent="0.4">
      <c r="A49" s="1" t="s">
        <v>134</v>
      </c>
    </row>
    <row r="51" spans="1:1" x14ac:dyDescent="0.4">
      <c r="A51" s="1" t="s">
        <v>133</v>
      </c>
    </row>
    <row r="52" spans="1:1" x14ac:dyDescent="0.4">
      <c r="A52" s="1" t="s">
        <v>135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D212-FE8D-42CB-B6E2-868C346B6C9D}">
  <sheetPr>
    <tabColor rgb="FFFFC000"/>
  </sheetPr>
  <dimension ref="A1:AH95"/>
  <sheetViews>
    <sheetView zoomScale="70" zoomScaleNormal="70" workbookViewId="0">
      <pane xSplit="3" ySplit="3" topLeftCell="D43" activePane="bottomRight" state="frozen"/>
      <selection pane="topRight" activeCell="D1" sqref="D1"/>
      <selection pane="bottomLeft" activeCell="A4" sqref="A4"/>
      <selection pane="bottomRight" activeCell="X87" sqref="X87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136</v>
      </c>
      <c r="B5" s="1" t="s">
        <v>132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3"/>
      <c r="O5" s="4">
        <v>-28</v>
      </c>
      <c r="P5" s="13"/>
      <c r="Q5" s="5"/>
      <c r="R5" s="5"/>
      <c r="S5" s="5"/>
      <c r="T5" s="5"/>
      <c r="U5" s="5"/>
      <c r="V5" s="5"/>
      <c r="W5" s="5"/>
      <c r="X5" s="4">
        <v>3</v>
      </c>
      <c r="Y5" s="17"/>
      <c r="Z5" s="5"/>
      <c r="AA5" s="5"/>
      <c r="AB5" s="5"/>
      <c r="AC5" s="5"/>
      <c r="AD5" s="13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17"/>
      <c r="M6" s="6">
        <v>55</v>
      </c>
      <c r="N6" s="13"/>
      <c r="O6" s="13">
        <v>-25</v>
      </c>
      <c r="P6" s="13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3"/>
      <c r="O7" s="13">
        <v>-20</v>
      </c>
      <c r="P7" s="13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3"/>
      <c r="Y7" s="17"/>
      <c r="Z7" s="5"/>
      <c r="AA7" s="5"/>
      <c r="AB7" s="5"/>
      <c r="AC7" s="5"/>
      <c r="AD7" s="13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3"/>
      <c r="O8" s="13">
        <v>-15</v>
      </c>
      <c r="P8" s="13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3"/>
      <c r="Y8" s="17"/>
      <c r="Z8" s="5"/>
      <c r="AA8" s="5"/>
      <c r="AB8" s="5"/>
      <c r="AC8" s="5"/>
      <c r="AD8" s="13"/>
      <c r="AE8" s="13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3"/>
      <c r="O9" s="13">
        <v>-10</v>
      </c>
      <c r="P9" s="13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3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3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3"/>
      <c r="O10" s="13">
        <v>-7</v>
      </c>
      <c r="P10" s="13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3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3"/>
      <c r="AE10" s="13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3"/>
      <c r="O11" s="13">
        <v>2</v>
      </c>
      <c r="P11" s="13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3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3"/>
      <c r="AE11" s="13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3"/>
      <c r="O12" s="13">
        <v>7</v>
      </c>
      <c r="P12" s="13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3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3"/>
      <c r="AE12" s="13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3"/>
      <c r="O13" s="13">
        <v>12</v>
      </c>
      <c r="P13" s="13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3"/>
      <c r="Y13" s="17"/>
      <c r="Z13" s="5">
        <v>5.7</v>
      </c>
      <c r="AA13" s="5">
        <v>7.8</v>
      </c>
      <c r="AB13" s="5">
        <v>5.6</v>
      </c>
      <c r="AC13" s="5">
        <v>5.78</v>
      </c>
      <c r="AD13" s="13"/>
      <c r="AE13" s="13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18"/>
      <c r="H14" s="18"/>
      <c r="I14" s="18"/>
      <c r="J14" s="18"/>
      <c r="K14" s="18"/>
      <c r="L14" s="18"/>
      <c r="M14" s="18"/>
      <c r="N14" s="14"/>
      <c r="O14" s="14"/>
      <c r="P14" s="14"/>
      <c r="Q14" s="18"/>
      <c r="R14" s="18"/>
      <c r="S14" s="18"/>
      <c r="T14" s="18"/>
      <c r="U14" s="18"/>
      <c r="V14" s="18"/>
      <c r="W14" s="18"/>
      <c r="X14" s="18"/>
      <c r="Y14" s="22"/>
      <c r="Z14" s="22"/>
      <c r="AA14" s="22"/>
      <c r="AB14" s="22"/>
      <c r="AC14" s="22"/>
      <c r="AD14" s="14"/>
      <c r="AE14" s="14"/>
      <c r="AF14" s="18"/>
      <c r="AG14" s="18"/>
      <c r="AH14" s="18"/>
    </row>
    <row r="15" spans="1:34" x14ac:dyDescent="0.4">
      <c r="A15" s="3" t="s">
        <v>144</v>
      </c>
      <c r="B15" s="1" t="s">
        <v>132</v>
      </c>
      <c r="C15" s="4">
        <v>-28</v>
      </c>
      <c r="D15" s="2"/>
      <c r="E15" s="35"/>
      <c r="F15" s="5"/>
      <c r="G15" s="5"/>
      <c r="H15" s="5"/>
      <c r="I15" s="5"/>
      <c r="J15" s="5"/>
      <c r="K15" s="5"/>
      <c r="L15" s="17"/>
      <c r="M15" s="6">
        <v>55</v>
      </c>
      <c r="N15" s="13"/>
      <c r="O15" s="4">
        <v>-28</v>
      </c>
      <c r="P15" s="13"/>
      <c r="Q15" s="5"/>
      <c r="R15" s="5"/>
      <c r="S15" s="5"/>
      <c r="T15" s="5"/>
      <c r="U15" s="5"/>
      <c r="V15" s="5"/>
      <c r="W15" s="5"/>
      <c r="X15" s="4">
        <v>6</v>
      </c>
      <c r="Y15" s="17"/>
      <c r="Z15" s="5"/>
      <c r="AA15" s="5"/>
      <c r="AB15" s="5"/>
      <c r="AC15" s="5"/>
      <c r="AD15" s="13"/>
      <c r="AE15" s="13" t="s">
        <v>37</v>
      </c>
      <c r="AF15" s="7">
        <v>9</v>
      </c>
      <c r="AG15" s="7">
        <v>2.4900000000000002</v>
      </c>
      <c r="AH15" s="7">
        <f>AF15/AG15</f>
        <v>3.6144578313253009</v>
      </c>
    </row>
    <row r="16" spans="1:34" x14ac:dyDescent="0.4">
      <c r="A16" s="3"/>
      <c r="C16" s="13">
        <v>-25</v>
      </c>
      <c r="D16" s="2"/>
      <c r="E16" s="35"/>
      <c r="F16" s="5"/>
      <c r="G16" s="5">
        <v>8.1999999999999993</v>
      </c>
      <c r="H16" s="5">
        <v>4.2</v>
      </c>
      <c r="I16" s="5"/>
      <c r="J16" s="5"/>
      <c r="K16" s="5">
        <v>1.9523809523809523</v>
      </c>
      <c r="L16" s="17"/>
      <c r="M16" s="6">
        <v>55</v>
      </c>
      <c r="N16" s="13"/>
      <c r="O16" s="13">
        <v>-25</v>
      </c>
      <c r="P16" s="13"/>
      <c r="Q16" s="5"/>
      <c r="R16" s="5"/>
      <c r="S16" s="5">
        <v>7.6</v>
      </c>
      <c r="T16" s="5">
        <v>5.7</v>
      </c>
      <c r="U16" s="5"/>
      <c r="V16" s="5"/>
      <c r="W16" s="5">
        <v>1.3333333333333333</v>
      </c>
      <c r="X16" s="19"/>
      <c r="Y16" s="17"/>
      <c r="Z16" s="5"/>
      <c r="AA16" s="5"/>
      <c r="AB16" s="5"/>
      <c r="AC16" s="5"/>
      <c r="AD16" s="13"/>
      <c r="AE16" s="13"/>
      <c r="AF16" s="7"/>
      <c r="AG16" s="7"/>
      <c r="AH16" s="7"/>
    </row>
    <row r="17" spans="1:34" x14ac:dyDescent="0.4">
      <c r="A17" s="46"/>
      <c r="C17" s="13">
        <v>-20</v>
      </c>
      <c r="D17" s="2"/>
      <c r="E17" s="35"/>
      <c r="F17" s="5"/>
      <c r="G17" s="5">
        <v>8.1999999999999993</v>
      </c>
      <c r="H17" s="5">
        <v>3.34</v>
      </c>
      <c r="I17" s="5"/>
      <c r="J17" s="5"/>
      <c r="K17" s="5">
        <v>2.4550898203592815</v>
      </c>
      <c r="L17" s="17"/>
      <c r="M17" s="6">
        <v>65</v>
      </c>
      <c r="N17" s="13"/>
      <c r="O17" s="13">
        <v>-20</v>
      </c>
      <c r="P17" s="13"/>
      <c r="Q17" s="5"/>
      <c r="R17" s="5"/>
      <c r="S17" s="5">
        <v>7.6</v>
      </c>
      <c r="T17" s="5">
        <v>4.76</v>
      </c>
      <c r="U17" s="5"/>
      <c r="V17" s="5"/>
      <c r="W17" s="5">
        <v>1.596638655462185</v>
      </c>
      <c r="X17" s="13"/>
      <c r="Y17" s="17"/>
      <c r="Z17" s="5"/>
      <c r="AA17" s="5"/>
      <c r="AB17" s="5"/>
      <c r="AC17" s="5"/>
      <c r="AD17" s="13"/>
      <c r="AE17" s="13" t="s">
        <v>38</v>
      </c>
      <c r="AF17" s="7">
        <v>9.8000000000000007</v>
      </c>
      <c r="AG17" s="7">
        <v>2.63</v>
      </c>
      <c r="AH17" s="7">
        <f>AF17/AG17</f>
        <v>3.7262357414448672</v>
      </c>
    </row>
    <row r="18" spans="1:34" x14ac:dyDescent="0.4">
      <c r="A18" s="3"/>
      <c r="C18" s="2">
        <v>-15</v>
      </c>
      <c r="D18" s="2"/>
      <c r="E18" s="35"/>
      <c r="F18" s="5"/>
      <c r="G18" s="5">
        <v>9</v>
      </c>
      <c r="H18" s="5">
        <v>3.3</v>
      </c>
      <c r="I18" s="5"/>
      <c r="J18" s="5"/>
      <c r="K18" s="5">
        <v>2.7272727272727271</v>
      </c>
      <c r="L18" s="17"/>
      <c r="M18" s="6">
        <v>75</v>
      </c>
      <c r="N18" s="13"/>
      <c r="O18" s="13">
        <v>-15</v>
      </c>
      <c r="P18" s="13"/>
      <c r="Q18" s="5"/>
      <c r="R18" s="5"/>
      <c r="S18" s="5">
        <v>9</v>
      </c>
      <c r="T18" s="5">
        <v>4.4800000000000004</v>
      </c>
      <c r="U18" s="5"/>
      <c r="V18" s="5"/>
      <c r="W18" s="5">
        <v>2.0089285714285716</v>
      </c>
      <c r="X18" s="13"/>
      <c r="Y18" s="17"/>
      <c r="Z18" s="5"/>
      <c r="AA18" s="5"/>
      <c r="AB18" s="5"/>
      <c r="AC18" s="5"/>
      <c r="AD18" s="13"/>
      <c r="AE18" s="13" t="s">
        <v>40</v>
      </c>
      <c r="AF18" s="7">
        <v>9</v>
      </c>
      <c r="AG18" s="7">
        <v>1.71</v>
      </c>
      <c r="AH18" s="7">
        <f>AF18/AG18</f>
        <v>5.2631578947368425</v>
      </c>
    </row>
    <row r="19" spans="1:34" x14ac:dyDescent="0.4">
      <c r="A19" s="3"/>
      <c r="C19" s="2">
        <v>-10</v>
      </c>
      <c r="D19" s="2"/>
      <c r="E19" s="3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3"/>
      <c r="O19" s="13">
        <v>-10</v>
      </c>
      <c r="P19" s="13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3"/>
      <c r="Y19" s="17" t="s">
        <v>39</v>
      </c>
      <c r="Z19" s="5">
        <v>9</v>
      </c>
      <c r="AA19" s="5">
        <v>3.19</v>
      </c>
      <c r="AB19" s="5">
        <v>9</v>
      </c>
      <c r="AC19" s="5">
        <v>2.17</v>
      </c>
      <c r="AD19" s="13"/>
    </row>
    <row r="20" spans="1:34" x14ac:dyDescent="0.4">
      <c r="A20" s="3"/>
      <c r="C20" s="2">
        <v>-7</v>
      </c>
      <c r="D20" s="2"/>
      <c r="E20" s="35"/>
      <c r="F20" s="5"/>
      <c r="G20" s="5">
        <v>9</v>
      </c>
      <c r="H20" s="5">
        <v>2.61</v>
      </c>
      <c r="I20" s="5"/>
      <c r="J20" s="5"/>
      <c r="K20" s="5">
        <v>3.4482758620689653</v>
      </c>
      <c r="L20" s="17"/>
      <c r="M20" s="6">
        <v>75</v>
      </c>
      <c r="N20" s="13"/>
      <c r="O20" s="13">
        <v>-7</v>
      </c>
      <c r="P20" s="13"/>
      <c r="Q20" s="5"/>
      <c r="R20" s="5"/>
      <c r="S20" s="5">
        <v>9</v>
      </c>
      <c r="T20" s="5">
        <v>3.83</v>
      </c>
      <c r="U20" s="5"/>
      <c r="V20" s="5"/>
      <c r="W20" s="5">
        <v>2.3498694516971281</v>
      </c>
      <c r="X20" s="13"/>
      <c r="Y20" s="5">
        <f>AA20*(1.029-(0.05*Z20/G22))</f>
        <v>3.4656355555555556</v>
      </c>
      <c r="Z20" s="5">
        <v>8</v>
      </c>
      <c r="AA20" s="5">
        <v>3.52</v>
      </c>
      <c r="AB20" s="5">
        <v>8</v>
      </c>
      <c r="AC20" s="5">
        <v>2.4900000000000002</v>
      </c>
      <c r="AD20" s="13"/>
      <c r="AE20" s="13"/>
      <c r="AF20" s="19"/>
      <c r="AG20" s="19"/>
      <c r="AH20" s="20"/>
    </row>
    <row r="21" spans="1:34" x14ac:dyDescent="0.4">
      <c r="A21" s="3"/>
      <c r="C21" s="2">
        <v>2</v>
      </c>
      <c r="D21" s="2"/>
      <c r="E21" s="35"/>
      <c r="F21" s="5"/>
      <c r="G21" s="5">
        <v>9</v>
      </c>
      <c r="H21" s="5">
        <v>2.36</v>
      </c>
      <c r="I21" s="5"/>
      <c r="J21" s="5"/>
      <c r="K21" s="5">
        <v>3.8135593220338984</v>
      </c>
      <c r="L21" s="17"/>
      <c r="M21" s="6">
        <v>75</v>
      </c>
      <c r="N21" s="13"/>
      <c r="O21" s="13">
        <v>2</v>
      </c>
      <c r="P21" s="13"/>
      <c r="Q21" s="5"/>
      <c r="R21" s="5"/>
      <c r="S21" s="5">
        <v>9</v>
      </c>
      <c r="T21" s="5">
        <v>3.54</v>
      </c>
      <c r="U21" s="5"/>
      <c r="V21" s="5"/>
      <c r="W21" s="5">
        <v>2.5423728813559321</v>
      </c>
      <c r="X21" s="13"/>
      <c r="Y21" s="5">
        <f>AA21*(0.906-(0.044*Z21/G22))</f>
        <v>4.2690951111111115</v>
      </c>
      <c r="Z21" s="5">
        <v>4.9000000000000004</v>
      </c>
      <c r="AA21" s="5">
        <v>4.84</v>
      </c>
      <c r="AB21" s="5">
        <v>4.9000000000000004</v>
      </c>
      <c r="AC21" s="5">
        <v>3.29</v>
      </c>
      <c r="AD21" s="13"/>
      <c r="AE21" s="13"/>
      <c r="AF21" s="19"/>
      <c r="AG21" s="19"/>
      <c r="AH21" s="20"/>
    </row>
    <row r="22" spans="1:34" x14ac:dyDescent="0.4">
      <c r="A22" s="3"/>
      <c r="C22" s="2">
        <v>7</v>
      </c>
      <c r="D22" s="2"/>
      <c r="E22" s="35"/>
      <c r="F22" s="5"/>
      <c r="G22" s="5">
        <v>9</v>
      </c>
      <c r="H22" s="5">
        <v>1.72</v>
      </c>
      <c r="I22" s="5"/>
      <c r="J22" s="5"/>
      <c r="K22" s="5">
        <v>5.2325581395348841</v>
      </c>
      <c r="L22" s="17"/>
      <c r="M22" s="6">
        <v>75</v>
      </c>
      <c r="N22" s="13"/>
      <c r="O22" s="13">
        <v>7</v>
      </c>
      <c r="P22" s="13"/>
      <c r="Q22" s="5"/>
      <c r="R22" s="5"/>
      <c r="S22" s="5">
        <v>9</v>
      </c>
      <c r="T22" s="5">
        <v>2.78</v>
      </c>
      <c r="U22" s="5"/>
      <c r="V22" s="5"/>
      <c r="W22" s="5">
        <v>3.2374100719424459</v>
      </c>
      <c r="X22" s="13"/>
      <c r="Y22" s="5">
        <f>K22</f>
        <v>5.2325581395348841</v>
      </c>
      <c r="Z22" s="5">
        <v>4.8</v>
      </c>
      <c r="AA22" s="5">
        <v>6.15</v>
      </c>
      <c r="AB22" s="5">
        <v>4.7</v>
      </c>
      <c r="AC22" s="5">
        <v>4.42</v>
      </c>
      <c r="AD22" s="13"/>
      <c r="AE22" s="13"/>
      <c r="AF22" s="19"/>
      <c r="AG22" s="19"/>
      <c r="AH22" s="20"/>
    </row>
    <row r="23" spans="1:34" x14ac:dyDescent="0.4">
      <c r="A23" s="3"/>
      <c r="C23" s="2">
        <v>12</v>
      </c>
      <c r="D23" s="2"/>
      <c r="E23" s="3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3"/>
      <c r="O23" s="13">
        <v>12</v>
      </c>
      <c r="P23" s="13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3"/>
      <c r="Y23" s="17"/>
      <c r="Z23" s="5">
        <v>5.7</v>
      </c>
      <c r="AA23" s="5">
        <v>7.8</v>
      </c>
      <c r="AB23" s="5">
        <v>5.6</v>
      </c>
      <c r="AC23" s="5">
        <v>5.78</v>
      </c>
      <c r="AD23" s="13"/>
      <c r="AE23" s="13"/>
      <c r="AF23" s="19"/>
      <c r="AG23" s="19"/>
      <c r="AH23" s="20"/>
    </row>
    <row r="24" spans="1:34" x14ac:dyDescent="0.4">
      <c r="A24" s="8"/>
      <c r="B24" s="8"/>
      <c r="C24" s="9"/>
      <c r="D24" s="9"/>
      <c r="E24" s="18"/>
      <c r="F24" s="18"/>
      <c r="G24" s="22"/>
      <c r="H24" s="22"/>
      <c r="I24" s="22"/>
      <c r="J24" s="22"/>
      <c r="K24" s="22"/>
      <c r="L24" s="18"/>
      <c r="M24" s="18"/>
      <c r="N24" s="14"/>
      <c r="O24" s="14"/>
      <c r="P24" s="14"/>
      <c r="Q24" s="18"/>
      <c r="R24" s="22"/>
      <c r="S24" s="22"/>
      <c r="T24" s="22"/>
      <c r="U24" s="22"/>
      <c r="V24" s="22"/>
      <c r="W24" s="22"/>
      <c r="X24" s="14"/>
      <c r="Y24" s="22"/>
      <c r="Z24" s="22"/>
      <c r="AA24" s="22"/>
      <c r="AB24" s="22"/>
      <c r="AC24" s="22"/>
      <c r="AD24" s="14"/>
      <c r="AE24" s="14"/>
      <c r="AF24" s="18"/>
      <c r="AG24" s="18"/>
      <c r="AH24" s="18"/>
    </row>
    <row r="25" spans="1:34" ht="14.4" customHeight="1" x14ac:dyDescent="0.4">
      <c r="A25" s="3" t="s">
        <v>137</v>
      </c>
      <c r="B25" s="1" t="s">
        <v>132</v>
      </c>
      <c r="C25" s="4">
        <v>-28</v>
      </c>
      <c r="D25" s="2"/>
      <c r="E25" s="35"/>
      <c r="F25" s="5"/>
      <c r="G25" s="5"/>
      <c r="H25" s="5"/>
      <c r="I25" s="5"/>
      <c r="J25" s="5"/>
      <c r="K25" s="5"/>
      <c r="L25" s="17"/>
      <c r="M25" s="6">
        <v>55</v>
      </c>
      <c r="N25" s="13"/>
      <c r="O25" s="4">
        <v>-28</v>
      </c>
      <c r="P25" s="13"/>
      <c r="Q25" s="5"/>
      <c r="R25" s="5"/>
      <c r="S25" s="5"/>
      <c r="T25" s="5"/>
      <c r="U25" s="5"/>
      <c r="V25" s="5"/>
      <c r="W25" s="5"/>
      <c r="X25" s="4">
        <v>3</v>
      </c>
      <c r="Y25" s="17"/>
      <c r="Z25" s="5"/>
      <c r="AA25" s="5"/>
      <c r="AB25" s="5"/>
      <c r="AC25" s="5"/>
      <c r="AD25" s="13"/>
      <c r="AE25" s="13" t="s">
        <v>37</v>
      </c>
      <c r="AF25" s="7">
        <v>9</v>
      </c>
      <c r="AG25" s="7">
        <v>2.4900000000000002</v>
      </c>
      <c r="AH25" s="7">
        <f>AF25/AG25</f>
        <v>3.6144578313253009</v>
      </c>
    </row>
    <row r="26" spans="1:34" ht="14.4" customHeight="1" x14ac:dyDescent="0.4">
      <c r="A26" s="3"/>
      <c r="C26" s="13">
        <v>-25</v>
      </c>
      <c r="D26" s="2"/>
      <c r="E26" s="35"/>
      <c r="F26" s="5"/>
      <c r="G26" s="5">
        <v>8.1999999999999993</v>
      </c>
      <c r="H26" s="5">
        <v>4.2</v>
      </c>
      <c r="I26" s="5"/>
      <c r="J26" s="5"/>
      <c r="K26" s="5">
        <v>1.9523809523809523</v>
      </c>
      <c r="L26" s="17"/>
      <c r="M26" s="6">
        <v>55</v>
      </c>
      <c r="N26" s="13"/>
      <c r="O26" s="13">
        <v>-25</v>
      </c>
      <c r="P26" s="13"/>
      <c r="Q26" s="5"/>
      <c r="R26" s="5"/>
      <c r="S26" s="5">
        <v>7.6</v>
      </c>
      <c r="T26" s="5">
        <v>5.7</v>
      </c>
      <c r="U26" s="5"/>
      <c r="V26" s="5"/>
      <c r="W26" s="5">
        <v>1.3333333333333333</v>
      </c>
      <c r="X26" s="19"/>
      <c r="Y26" s="17"/>
      <c r="Z26" s="5"/>
      <c r="AA26" s="5"/>
      <c r="AB26" s="5"/>
      <c r="AC26" s="5"/>
      <c r="AD26" s="13"/>
      <c r="AE26" s="13"/>
      <c r="AF26" s="7"/>
      <c r="AG26" s="7"/>
      <c r="AH26" s="7"/>
    </row>
    <row r="27" spans="1:34" x14ac:dyDescent="0.4">
      <c r="A27" s="46"/>
      <c r="C27" s="13">
        <v>-20</v>
      </c>
      <c r="D27" s="2"/>
      <c r="E27" s="35"/>
      <c r="F27" s="5"/>
      <c r="G27" s="5">
        <v>8.1999999999999993</v>
      </c>
      <c r="H27" s="5">
        <v>3.34</v>
      </c>
      <c r="I27" s="5"/>
      <c r="J27" s="5"/>
      <c r="K27" s="5">
        <v>2.4550898203592815</v>
      </c>
      <c r="L27" s="17"/>
      <c r="M27" s="6">
        <v>65</v>
      </c>
      <c r="N27" s="13"/>
      <c r="O27" s="13">
        <v>-20</v>
      </c>
      <c r="P27" s="13"/>
      <c r="Q27" s="5"/>
      <c r="R27" s="5"/>
      <c r="S27" s="5">
        <v>7.6</v>
      </c>
      <c r="T27" s="5">
        <v>4.76</v>
      </c>
      <c r="U27" s="5"/>
      <c r="V27" s="5"/>
      <c r="W27" s="5">
        <v>1.596638655462185</v>
      </c>
      <c r="X27" s="13"/>
      <c r="Y27" s="17"/>
      <c r="Z27" s="5"/>
      <c r="AA27" s="5"/>
      <c r="AB27" s="5"/>
      <c r="AC27" s="5"/>
      <c r="AD27" s="13"/>
      <c r="AE27" s="13" t="s">
        <v>38</v>
      </c>
      <c r="AF27" s="7">
        <v>9.8000000000000007</v>
      </c>
      <c r="AG27" s="7">
        <v>2.63</v>
      </c>
      <c r="AH27" s="7">
        <f>AF27/AG27</f>
        <v>3.7262357414448672</v>
      </c>
    </row>
    <row r="28" spans="1:34" x14ac:dyDescent="0.4">
      <c r="A28" s="3"/>
      <c r="C28" s="2">
        <v>-15</v>
      </c>
      <c r="D28" s="2"/>
      <c r="E28" s="35"/>
      <c r="F28" s="5"/>
      <c r="G28" s="5">
        <v>9</v>
      </c>
      <c r="H28" s="5">
        <v>3.3</v>
      </c>
      <c r="I28" s="5"/>
      <c r="J28" s="5"/>
      <c r="K28" s="5">
        <v>2.7272727272727271</v>
      </c>
      <c r="L28" s="17"/>
      <c r="M28" s="6">
        <v>75</v>
      </c>
      <c r="N28" s="13"/>
      <c r="O28" s="13">
        <v>-15</v>
      </c>
      <c r="P28" s="13"/>
      <c r="Q28" s="5"/>
      <c r="R28" s="5"/>
      <c r="S28" s="5">
        <v>9</v>
      </c>
      <c r="T28" s="5">
        <v>4.4800000000000004</v>
      </c>
      <c r="U28" s="5"/>
      <c r="V28" s="5"/>
      <c r="W28" s="5">
        <v>2.0089285714285716</v>
      </c>
      <c r="X28" s="13"/>
      <c r="Y28" s="17"/>
      <c r="Z28" s="5"/>
      <c r="AA28" s="5"/>
      <c r="AB28" s="5"/>
      <c r="AC28" s="5"/>
      <c r="AD28" s="13"/>
      <c r="AE28" s="13" t="s">
        <v>40</v>
      </c>
      <c r="AF28" s="7">
        <v>9</v>
      </c>
      <c r="AG28" s="7">
        <v>1.71</v>
      </c>
      <c r="AH28" s="7">
        <f>AF28/AG28</f>
        <v>5.2631578947368425</v>
      </c>
    </row>
    <row r="29" spans="1:34" x14ac:dyDescent="0.4">
      <c r="A29" s="3"/>
      <c r="C29" s="2">
        <v>-10</v>
      </c>
      <c r="D29" s="2"/>
      <c r="E29" s="3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3"/>
      <c r="O29" s="13">
        <v>-10</v>
      </c>
      <c r="P29" s="13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3"/>
      <c r="Y29" s="17" t="s">
        <v>39</v>
      </c>
      <c r="Z29" s="5">
        <v>9</v>
      </c>
      <c r="AA29" s="5">
        <v>3.19</v>
      </c>
      <c r="AB29" s="5">
        <v>9</v>
      </c>
      <c r="AC29" s="5">
        <v>2.17</v>
      </c>
      <c r="AD29" s="13"/>
    </row>
    <row r="30" spans="1:34" x14ac:dyDescent="0.4">
      <c r="A30" s="3"/>
      <c r="C30" s="2">
        <v>-7</v>
      </c>
      <c r="D30" s="2"/>
      <c r="E30" s="35"/>
      <c r="F30" s="5"/>
      <c r="G30" s="5">
        <v>9</v>
      </c>
      <c r="H30" s="5">
        <v>2.61</v>
      </c>
      <c r="I30" s="5"/>
      <c r="J30" s="5"/>
      <c r="K30" s="5">
        <v>3.4482758620689653</v>
      </c>
      <c r="L30" s="17"/>
      <c r="M30" s="6">
        <v>75</v>
      </c>
      <c r="N30" s="13"/>
      <c r="O30" s="13">
        <v>-7</v>
      </c>
      <c r="P30" s="13"/>
      <c r="Q30" s="5"/>
      <c r="R30" s="5"/>
      <c r="S30" s="5">
        <v>9</v>
      </c>
      <c r="T30" s="5">
        <v>3.83</v>
      </c>
      <c r="U30" s="5"/>
      <c r="V30" s="5"/>
      <c r="W30" s="5">
        <v>2.3498694516971281</v>
      </c>
      <c r="X30" s="13"/>
      <c r="Y30" s="5">
        <f>AA30*(1.029-(0.05*Z30/G32))</f>
        <v>3.4656355555555556</v>
      </c>
      <c r="Z30" s="5">
        <v>8</v>
      </c>
      <c r="AA30" s="5">
        <v>3.52</v>
      </c>
      <c r="AB30" s="5">
        <v>8</v>
      </c>
      <c r="AC30" s="5">
        <v>2.4900000000000002</v>
      </c>
      <c r="AD30" s="13"/>
      <c r="AE30" s="13"/>
      <c r="AF30" s="19"/>
      <c r="AG30" s="19"/>
      <c r="AH30" s="20"/>
    </row>
    <row r="31" spans="1:34" x14ac:dyDescent="0.4">
      <c r="A31" s="3"/>
      <c r="C31" s="2">
        <v>2</v>
      </c>
      <c r="D31" s="2"/>
      <c r="E31" s="35"/>
      <c r="F31" s="5"/>
      <c r="G31" s="5">
        <v>9</v>
      </c>
      <c r="H31" s="5">
        <v>2.36</v>
      </c>
      <c r="I31" s="5"/>
      <c r="J31" s="5"/>
      <c r="K31" s="5">
        <v>3.8135593220338984</v>
      </c>
      <c r="L31" s="17"/>
      <c r="M31" s="6">
        <v>75</v>
      </c>
      <c r="N31" s="13"/>
      <c r="O31" s="13">
        <v>2</v>
      </c>
      <c r="P31" s="13"/>
      <c r="Q31" s="5"/>
      <c r="R31" s="5"/>
      <c r="S31" s="5">
        <v>9</v>
      </c>
      <c r="T31" s="5">
        <v>3.54</v>
      </c>
      <c r="U31" s="5"/>
      <c r="V31" s="5"/>
      <c r="W31" s="5">
        <v>2.5423728813559321</v>
      </c>
      <c r="X31" s="13"/>
      <c r="Y31" s="5">
        <f>AA31*(0.906-(0.044*Z31/G32))</f>
        <v>4.2690951111111115</v>
      </c>
      <c r="Z31" s="5">
        <v>4.9000000000000004</v>
      </c>
      <c r="AA31" s="5">
        <v>4.84</v>
      </c>
      <c r="AB31" s="5">
        <v>4.9000000000000004</v>
      </c>
      <c r="AC31" s="5">
        <v>3.29</v>
      </c>
      <c r="AD31" s="13"/>
      <c r="AE31" s="13"/>
      <c r="AF31" s="19"/>
      <c r="AG31" s="19"/>
      <c r="AH31" s="20"/>
    </row>
    <row r="32" spans="1:34" x14ac:dyDescent="0.4">
      <c r="A32" s="3"/>
      <c r="C32" s="2">
        <v>7</v>
      </c>
      <c r="D32" s="2"/>
      <c r="E32" s="35"/>
      <c r="F32" s="5"/>
      <c r="G32" s="5">
        <v>9</v>
      </c>
      <c r="H32" s="5">
        <v>1.72</v>
      </c>
      <c r="I32" s="5"/>
      <c r="J32" s="5"/>
      <c r="K32" s="5">
        <v>5.2325581395348841</v>
      </c>
      <c r="L32" s="17"/>
      <c r="M32" s="6">
        <v>75</v>
      </c>
      <c r="N32" s="13"/>
      <c r="O32" s="13">
        <v>7</v>
      </c>
      <c r="P32" s="13"/>
      <c r="Q32" s="5"/>
      <c r="R32" s="5"/>
      <c r="S32" s="5">
        <v>9</v>
      </c>
      <c r="T32" s="5">
        <v>2.78</v>
      </c>
      <c r="U32" s="5"/>
      <c r="V32" s="5"/>
      <c r="W32" s="5">
        <v>3.2374100719424459</v>
      </c>
      <c r="X32" s="13"/>
      <c r="Y32" s="5">
        <f>K32</f>
        <v>5.2325581395348841</v>
      </c>
      <c r="Z32" s="5">
        <v>4.8</v>
      </c>
      <c r="AA32" s="5">
        <v>6.15</v>
      </c>
      <c r="AB32" s="5">
        <v>4.7</v>
      </c>
      <c r="AC32" s="5">
        <v>4.42</v>
      </c>
      <c r="AD32" s="13"/>
      <c r="AE32" s="13"/>
      <c r="AF32" s="19"/>
      <c r="AG32" s="19"/>
      <c r="AH32" s="20"/>
    </row>
    <row r="33" spans="1:34" x14ac:dyDescent="0.4">
      <c r="A33" s="3"/>
      <c r="C33" s="2">
        <v>12</v>
      </c>
      <c r="D33" s="2"/>
      <c r="E33" s="3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3"/>
      <c r="O33" s="13">
        <v>12</v>
      </c>
      <c r="P33" s="13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3"/>
      <c r="Y33" s="17"/>
      <c r="Z33" s="5">
        <v>5.7</v>
      </c>
      <c r="AA33" s="5">
        <v>7.8</v>
      </c>
      <c r="AB33" s="5">
        <v>5.6</v>
      </c>
      <c r="AC33" s="5">
        <v>5.78</v>
      </c>
      <c r="AD33" s="13"/>
      <c r="AE33" s="13"/>
      <c r="AF33" s="19"/>
      <c r="AG33" s="19"/>
      <c r="AH33" s="20"/>
    </row>
    <row r="34" spans="1:34" x14ac:dyDescent="0.4">
      <c r="A34" s="8"/>
      <c r="B34" s="8"/>
      <c r="C34" s="9"/>
      <c r="D34" s="9"/>
      <c r="E34" s="18"/>
      <c r="F34" s="18"/>
      <c r="G34" s="38"/>
      <c r="H34" s="37"/>
      <c r="I34" s="22"/>
      <c r="J34" s="22"/>
      <c r="K34" s="37"/>
      <c r="L34" s="18"/>
      <c r="M34" s="14"/>
      <c r="N34" s="14"/>
      <c r="O34" s="14"/>
      <c r="P34" s="14"/>
      <c r="Q34" s="18"/>
      <c r="R34" s="22"/>
      <c r="S34" s="22"/>
      <c r="T34" s="22"/>
      <c r="U34" s="22"/>
      <c r="V34" s="22"/>
      <c r="W34" s="22"/>
      <c r="X34" s="14"/>
      <c r="Y34" s="31"/>
      <c r="Z34" s="31"/>
      <c r="AA34" s="31"/>
      <c r="AB34" s="31"/>
      <c r="AC34" s="31"/>
      <c r="AD34" s="14"/>
      <c r="AE34" s="14"/>
      <c r="AF34" s="14"/>
      <c r="AG34" s="14"/>
      <c r="AH34" s="14"/>
    </row>
    <row r="35" spans="1:34" ht="14.4" customHeight="1" x14ac:dyDescent="0.4">
      <c r="A35" s="3" t="s">
        <v>141</v>
      </c>
      <c r="B35" s="1" t="s">
        <v>132</v>
      </c>
      <c r="C35" s="4">
        <v>-28</v>
      </c>
      <c r="D35" s="2"/>
      <c r="E35" s="35"/>
      <c r="F35" s="5"/>
      <c r="G35" s="5"/>
      <c r="H35" s="5"/>
      <c r="I35" s="5"/>
      <c r="J35" s="5"/>
      <c r="K35" s="5"/>
      <c r="L35" s="17"/>
      <c r="M35" s="6">
        <v>55</v>
      </c>
      <c r="N35" s="13"/>
      <c r="O35" s="4">
        <v>-28</v>
      </c>
      <c r="P35" s="13"/>
      <c r="Q35" s="5"/>
      <c r="R35" s="5"/>
      <c r="S35" s="5"/>
      <c r="T35" s="5"/>
      <c r="U35" s="5"/>
      <c r="V35" s="5"/>
      <c r="W35" s="5"/>
      <c r="X35" s="4">
        <v>3</v>
      </c>
      <c r="Y35" s="17"/>
      <c r="Z35" s="5"/>
      <c r="AA35" s="5"/>
      <c r="AB35" s="5"/>
      <c r="AC35" s="5"/>
      <c r="AD35" s="13"/>
      <c r="AE35" s="13" t="s">
        <v>37</v>
      </c>
      <c r="AF35" s="7">
        <v>9</v>
      </c>
      <c r="AG35" s="7">
        <v>2.4900000000000002</v>
      </c>
      <c r="AH35" s="7">
        <f>AF35/AG35</f>
        <v>3.6144578313253009</v>
      </c>
    </row>
    <row r="36" spans="1:34" ht="14.4" customHeight="1" x14ac:dyDescent="0.4">
      <c r="A36" s="3"/>
      <c r="C36" s="13">
        <v>-25</v>
      </c>
      <c r="D36" s="2"/>
      <c r="E36" s="35"/>
      <c r="F36" s="5"/>
      <c r="G36" s="5">
        <v>8.1999999999999993</v>
      </c>
      <c r="H36" s="5">
        <v>4.2</v>
      </c>
      <c r="I36" s="5"/>
      <c r="J36" s="5"/>
      <c r="K36" s="5">
        <v>1.9523809523809523</v>
      </c>
      <c r="L36" s="17"/>
      <c r="M36" s="6">
        <v>55</v>
      </c>
      <c r="N36" s="13"/>
      <c r="O36" s="13">
        <v>-25</v>
      </c>
      <c r="P36" s="13"/>
      <c r="Q36" s="5"/>
      <c r="R36" s="5"/>
      <c r="S36" s="5">
        <v>7.6</v>
      </c>
      <c r="T36" s="5">
        <v>5.7</v>
      </c>
      <c r="U36" s="5"/>
      <c r="V36" s="5"/>
      <c r="W36" s="5">
        <v>1.3333333333333333</v>
      </c>
      <c r="X36" s="19"/>
      <c r="Y36" s="17"/>
      <c r="Z36" s="5"/>
      <c r="AA36" s="5"/>
      <c r="AB36" s="5"/>
      <c r="AC36" s="5"/>
      <c r="AD36" s="13"/>
      <c r="AE36" s="13"/>
      <c r="AF36" s="7"/>
      <c r="AG36" s="7"/>
      <c r="AH36" s="7"/>
    </row>
    <row r="37" spans="1:34" x14ac:dyDescent="0.4">
      <c r="A37" s="46"/>
      <c r="C37" s="13">
        <v>-20</v>
      </c>
      <c r="D37" s="2"/>
      <c r="E37" s="35"/>
      <c r="F37" s="5"/>
      <c r="G37" s="5">
        <v>8.1999999999999993</v>
      </c>
      <c r="H37" s="5">
        <v>3.34</v>
      </c>
      <c r="I37" s="5"/>
      <c r="J37" s="5"/>
      <c r="K37" s="5">
        <v>2.4550898203592815</v>
      </c>
      <c r="L37" s="17"/>
      <c r="M37" s="6">
        <v>65</v>
      </c>
      <c r="N37" s="13"/>
      <c r="O37" s="13">
        <v>-20</v>
      </c>
      <c r="P37" s="13"/>
      <c r="Q37" s="5"/>
      <c r="R37" s="5"/>
      <c r="S37" s="5">
        <v>7.6</v>
      </c>
      <c r="T37" s="5">
        <v>4.76</v>
      </c>
      <c r="U37" s="5"/>
      <c r="V37" s="5"/>
      <c r="W37" s="5">
        <v>1.596638655462185</v>
      </c>
      <c r="X37" s="13"/>
      <c r="Y37" s="17"/>
      <c r="Z37" s="5"/>
      <c r="AA37" s="5"/>
      <c r="AB37" s="5"/>
      <c r="AC37" s="5"/>
      <c r="AD37" s="13"/>
      <c r="AE37" s="13" t="s">
        <v>38</v>
      </c>
      <c r="AF37" s="7">
        <v>9.8000000000000007</v>
      </c>
      <c r="AG37" s="7">
        <v>2.63</v>
      </c>
      <c r="AH37" s="7">
        <f>AF37/AG37</f>
        <v>3.7262357414448672</v>
      </c>
    </row>
    <row r="38" spans="1:34" x14ac:dyDescent="0.4">
      <c r="A38" s="3"/>
      <c r="C38" s="2">
        <v>-15</v>
      </c>
      <c r="D38" s="2"/>
      <c r="E38" s="35"/>
      <c r="F38" s="5"/>
      <c r="G38" s="5">
        <v>9</v>
      </c>
      <c r="H38" s="5">
        <v>3.3</v>
      </c>
      <c r="I38" s="5"/>
      <c r="J38" s="5"/>
      <c r="K38" s="5">
        <v>2.7272727272727271</v>
      </c>
      <c r="L38" s="17"/>
      <c r="M38" s="6">
        <v>75</v>
      </c>
      <c r="N38" s="13"/>
      <c r="O38" s="13">
        <v>-15</v>
      </c>
      <c r="P38" s="13"/>
      <c r="Q38" s="5"/>
      <c r="R38" s="5"/>
      <c r="S38" s="5">
        <v>9</v>
      </c>
      <c r="T38" s="5">
        <v>4.4800000000000004</v>
      </c>
      <c r="U38" s="5"/>
      <c r="V38" s="5"/>
      <c r="W38" s="5">
        <v>2.0089285714285716</v>
      </c>
      <c r="X38" s="13"/>
      <c r="Y38" s="17"/>
      <c r="Z38" s="5"/>
      <c r="AA38" s="5"/>
      <c r="AB38" s="5"/>
      <c r="AC38" s="5"/>
      <c r="AD38" s="13"/>
      <c r="AE38" s="13" t="s">
        <v>40</v>
      </c>
      <c r="AF38" s="7">
        <v>9</v>
      </c>
      <c r="AG38" s="7">
        <v>1.71</v>
      </c>
      <c r="AH38" s="7">
        <f>AF38/AG38</f>
        <v>5.2631578947368425</v>
      </c>
    </row>
    <row r="39" spans="1:34" x14ac:dyDescent="0.4">
      <c r="A39" s="3"/>
      <c r="C39" s="2">
        <v>-10</v>
      </c>
      <c r="D39" s="2"/>
      <c r="E39" s="35"/>
      <c r="F39" s="5"/>
      <c r="G39" s="29" t="s">
        <v>61</v>
      </c>
      <c r="H39" s="29" t="s">
        <v>61</v>
      </c>
      <c r="I39" s="5"/>
      <c r="J39" s="5"/>
      <c r="K39" s="29" t="s">
        <v>61</v>
      </c>
      <c r="L39" s="17"/>
      <c r="M39" s="6">
        <v>75</v>
      </c>
      <c r="N39" s="13"/>
      <c r="O39" s="13">
        <v>-10</v>
      </c>
      <c r="P39" s="13"/>
      <c r="Q39" s="5"/>
      <c r="R39" s="5"/>
      <c r="S39" s="29" t="s">
        <v>61</v>
      </c>
      <c r="T39" s="29" t="s">
        <v>61</v>
      </c>
      <c r="U39" s="5"/>
      <c r="V39" s="5"/>
      <c r="W39" s="29" t="s">
        <v>61</v>
      </c>
      <c r="X39" s="13"/>
      <c r="Y39" s="17" t="s">
        <v>39</v>
      </c>
      <c r="Z39" s="5">
        <v>9</v>
      </c>
      <c r="AA39" s="5">
        <v>3.19</v>
      </c>
      <c r="AB39" s="5">
        <v>9</v>
      </c>
      <c r="AC39" s="5">
        <v>2.17</v>
      </c>
      <c r="AD39" s="13"/>
    </row>
    <row r="40" spans="1:34" x14ac:dyDescent="0.4">
      <c r="A40" s="3"/>
      <c r="C40" s="2">
        <v>-7</v>
      </c>
      <c r="D40" s="2"/>
      <c r="E40" s="35"/>
      <c r="F40" s="5"/>
      <c r="G40" s="5">
        <v>9</v>
      </c>
      <c r="H40" s="5">
        <v>2.61</v>
      </c>
      <c r="I40" s="5"/>
      <c r="J40" s="5"/>
      <c r="K40" s="5">
        <v>3.4482758620689653</v>
      </c>
      <c r="L40" s="17"/>
      <c r="M40" s="6">
        <v>75</v>
      </c>
      <c r="N40" s="13"/>
      <c r="O40" s="13">
        <v>-7</v>
      </c>
      <c r="P40" s="13"/>
      <c r="Q40" s="5"/>
      <c r="R40" s="5"/>
      <c r="S40" s="5">
        <v>9</v>
      </c>
      <c r="T40" s="5">
        <v>3.83</v>
      </c>
      <c r="U40" s="5"/>
      <c r="V40" s="5"/>
      <c r="W40" s="5">
        <v>2.3498694516971281</v>
      </c>
      <c r="X40" s="13"/>
      <c r="Y40" s="5">
        <f>AA40*(1.029-(0.05*Z40/G42))</f>
        <v>3.4656355555555556</v>
      </c>
      <c r="Z40" s="5">
        <v>8</v>
      </c>
      <c r="AA40" s="5">
        <v>3.52</v>
      </c>
      <c r="AB40" s="5">
        <v>8</v>
      </c>
      <c r="AC40" s="5">
        <v>2.4900000000000002</v>
      </c>
      <c r="AD40" s="13"/>
      <c r="AE40" s="13"/>
      <c r="AF40" s="19"/>
      <c r="AG40" s="19"/>
      <c r="AH40" s="20"/>
    </row>
    <row r="41" spans="1:34" x14ac:dyDescent="0.4">
      <c r="A41" s="3"/>
      <c r="C41" s="2">
        <v>2</v>
      </c>
      <c r="D41" s="2"/>
      <c r="E41" s="35"/>
      <c r="F41" s="5"/>
      <c r="G41" s="5">
        <v>9</v>
      </c>
      <c r="H41" s="5">
        <v>2.36</v>
      </c>
      <c r="I41" s="5"/>
      <c r="J41" s="5"/>
      <c r="K41" s="5">
        <v>3.8135593220338984</v>
      </c>
      <c r="L41" s="17"/>
      <c r="M41" s="6">
        <v>75</v>
      </c>
      <c r="N41" s="13"/>
      <c r="O41" s="13">
        <v>2</v>
      </c>
      <c r="P41" s="13"/>
      <c r="Q41" s="5"/>
      <c r="R41" s="5"/>
      <c r="S41" s="5">
        <v>9</v>
      </c>
      <c r="T41" s="5">
        <v>3.54</v>
      </c>
      <c r="U41" s="5"/>
      <c r="V41" s="5"/>
      <c r="W41" s="5">
        <v>2.5423728813559321</v>
      </c>
      <c r="X41" s="13"/>
      <c r="Y41" s="5">
        <f>AA41*(0.906-(0.044*Z41/G42))</f>
        <v>4.2690951111111115</v>
      </c>
      <c r="Z41" s="5">
        <v>4.9000000000000004</v>
      </c>
      <c r="AA41" s="5">
        <v>4.84</v>
      </c>
      <c r="AB41" s="5">
        <v>4.9000000000000004</v>
      </c>
      <c r="AC41" s="5">
        <v>3.29</v>
      </c>
      <c r="AD41" s="13"/>
      <c r="AE41" s="13"/>
      <c r="AF41" s="19"/>
      <c r="AG41" s="19"/>
      <c r="AH41" s="20"/>
    </row>
    <row r="42" spans="1:34" x14ac:dyDescent="0.4">
      <c r="A42" s="3"/>
      <c r="C42" s="2">
        <v>7</v>
      </c>
      <c r="D42" s="2"/>
      <c r="E42" s="35"/>
      <c r="F42" s="5"/>
      <c r="G42" s="5">
        <v>9</v>
      </c>
      <c r="H42" s="5">
        <v>1.72</v>
      </c>
      <c r="I42" s="5"/>
      <c r="J42" s="5"/>
      <c r="K42" s="5">
        <v>5.2325581395348841</v>
      </c>
      <c r="L42" s="17"/>
      <c r="M42" s="6">
        <v>75</v>
      </c>
      <c r="N42" s="13"/>
      <c r="O42" s="13">
        <v>7</v>
      </c>
      <c r="P42" s="13"/>
      <c r="Q42" s="5"/>
      <c r="R42" s="5"/>
      <c r="S42" s="5">
        <v>9</v>
      </c>
      <c r="T42" s="5">
        <v>2.78</v>
      </c>
      <c r="U42" s="5"/>
      <c r="V42" s="5"/>
      <c r="W42" s="5">
        <v>3.2374100719424459</v>
      </c>
      <c r="X42" s="13"/>
      <c r="Y42" s="5">
        <f>K42</f>
        <v>5.2325581395348841</v>
      </c>
      <c r="Z42" s="5">
        <v>4.8</v>
      </c>
      <c r="AA42" s="5">
        <v>6.15</v>
      </c>
      <c r="AB42" s="5">
        <v>4.7</v>
      </c>
      <c r="AC42" s="5">
        <v>4.42</v>
      </c>
      <c r="AD42" s="13"/>
      <c r="AE42" s="13"/>
      <c r="AF42" s="19"/>
      <c r="AG42" s="19"/>
      <c r="AH42" s="20"/>
    </row>
    <row r="43" spans="1:34" x14ac:dyDescent="0.4">
      <c r="A43" s="3"/>
      <c r="C43" s="2">
        <v>12</v>
      </c>
      <c r="D43" s="2"/>
      <c r="E43" s="35"/>
      <c r="F43" s="5"/>
      <c r="G43" s="29" t="s">
        <v>61</v>
      </c>
      <c r="H43" s="29" t="s">
        <v>61</v>
      </c>
      <c r="I43" s="5"/>
      <c r="J43" s="5"/>
      <c r="K43" s="29" t="s">
        <v>61</v>
      </c>
      <c r="L43" s="17"/>
      <c r="M43" s="6">
        <v>75</v>
      </c>
      <c r="N43" s="13"/>
      <c r="O43" s="13">
        <v>12</v>
      </c>
      <c r="P43" s="13"/>
      <c r="Q43" s="5"/>
      <c r="R43" s="5"/>
      <c r="S43" s="29" t="s">
        <v>61</v>
      </c>
      <c r="T43" s="29" t="s">
        <v>61</v>
      </c>
      <c r="U43" s="5"/>
      <c r="V43" s="5"/>
      <c r="W43" s="29" t="s">
        <v>61</v>
      </c>
      <c r="X43" s="13"/>
      <c r="Y43" s="17"/>
      <c r="Z43" s="5">
        <v>5.7</v>
      </c>
      <c r="AA43" s="5">
        <v>7.8</v>
      </c>
      <c r="AB43" s="5">
        <v>5.6</v>
      </c>
      <c r="AC43" s="5">
        <v>5.78</v>
      </c>
      <c r="AD43" s="13"/>
      <c r="AE43" s="13"/>
      <c r="AF43" s="19"/>
      <c r="AG43" s="19"/>
      <c r="AH43" s="20"/>
    </row>
    <row r="44" spans="1:34" x14ac:dyDescent="0.4">
      <c r="A44" s="8"/>
      <c r="B44" s="8"/>
      <c r="C44" s="9"/>
      <c r="D44" s="9"/>
      <c r="E44" s="18"/>
      <c r="F44" s="18"/>
      <c r="G44" s="38"/>
      <c r="H44" s="37"/>
      <c r="I44" s="22"/>
      <c r="J44" s="22"/>
      <c r="K44" s="37"/>
      <c r="L44" s="18"/>
      <c r="M44" s="14"/>
      <c r="N44" s="14"/>
      <c r="O44" s="14"/>
      <c r="P44" s="14"/>
      <c r="Q44" s="18"/>
      <c r="R44" s="22"/>
      <c r="S44" s="22"/>
      <c r="T44" s="22"/>
      <c r="U44" s="22"/>
      <c r="V44" s="22"/>
      <c r="W44" s="22"/>
      <c r="X44" s="14"/>
      <c r="Y44" s="31"/>
      <c r="Z44" s="31"/>
      <c r="AA44" s="31"/>
      <c r="AB44" s="31"/>
      <c r="AC44" s="31"/>
      <c r="AD44" s="14"/>
      <c r="AE44" s="14"/>
      <c r="AF44" s="14"/>
      <c r="AG44" s="14"/>
      <c r="AH44" s="14"/>
    </row>
    <row r="45" spans="1:34" x14ac:dyDescent="0.4">
      <c r="A45" s="3" t="s">
        <v>136</v>
      </c>
      <c r="B45" s="1" t="s">
        <v>133</v>
      </c>
      <c r="C45" s="4">
        <v>-28</v>
      </c>
      <c r="D45" s="2"/>
      <c r="E45" s="5"/>
      <c r="F45" s="5"/>
      <c r="G45" s="5"/>
      <c r="H45" s="5"/>
      <c r="I45" s="5"/>
      <c r="J45" s="5"/>
      <c r="K45" s="5"/>
      <c r="L45" s="17"/>
      <c r="M45" s="6">
        <v>55</v>
      </c>
      <c r="N45" s="13"/>
      <c r="O45" s="4">
        <v>-28</v>
      </c>
      <c r="P45" s="13"/>
      <c r="Q45" s="5"/>
      <c r="R45" s="5"/>
      <c r="S45" s="5"/>
      <c r="T45" s="5"/>
      <c r="U45" s="5"/>
      <c r="V45" s="5"/>
      <c r="W45" s="5"/>
      <c r="X45" s="4">
        <v>3</v>
      </c>
      <c r="Y45" s="17"/>
      <c r="Z45" s="5"/>
      <c r="AA45" s="5"/>
      <c r="AB45" s="5"/>
      <c r="AC45" s="5"/>
      <c r="AD45" s="13"/>
      <c r="AE45" s="13" t="s">
        <v>37</v>
      </c>
      <c r="AF45" s="7">
        <v>12</v>
      </c>
      <c r="AG45" s="7">
        <v>4.21</v>
      </c>
      <c r="AH45" s="7">
        <f>AF45/AG45</f>
        <v>2.8503562945368173</v>
      </c>
    </row>
    <row r="46" spans="1:34" x14ac:dyDescent="0.4">
      <c r="A46" s="3"/>
      <c r="C46" s="13">
        <v>-25</v>
      </c>
      <c r="D46" s="2"/>
      <c r="E46" s="5"/>
      <c r="F46" s="5"/>
      <c r="G46" s="5">
        <v>10.5</v>
      </c>
      <c r="H46" s="5">
        <v>5.55</v>
      </c>
      <c r="I46" s="5"/>
      <c r="J46" s="5"/>
      <c r="K46" s="5">
        <v>1.8918918918918919</v>
      </c>
      <c r="L46" s="17"/>
      <c r="M46" s="6">
        <v>55</v>
      </c>
      <c r="N46" s="13"/>
      <c r="O46" s="13">
        <v>-25</v>
      </c>
      <c r="P46" s="13"/>
      <c r="Q46" s="5"/>
      <c r="R46" s="5"/>
      <c r="S46" s="5">
        <v>9.6999999999999993</v>
      </c>
      <c r="T46" s="5">
        <v>7.4</v>
      </c>
      <c r="U46" s="5"/>
      <c r="V46" s="5"/>
      <c r="W46" s="5">
        <v>1.3108108108108107</v>
      </c>
      <c r="X46" s="19"/>
      <c r="Y46" s="17"/>
      <c r="Z46" s="5"/>
      <c r="AA46" s="5"/>
      <c r="AB46" s="5"/>
      <c r="AC46" s="5"/>
      <c r="AD46" s="13"/>
      <c r="AE46" s="13"/>
      <c r="AF46" s="7"/>
      <c r="AG46" s="7"/>
      <c r="AH46" s="7"/>
    </row>
    <row r="47" spans="1:34" x14ac:dyDescent="0.4">
      <c r="A47" s="46"/>
      <c r="C47" s="13">
        <v>-20</v>
      </c>
      <c r="D47" s="2"/>
      <c r="E47" s="5"/>
      <c r="F47" s="5"/>
      <c r="G47" s="5">
        <v>11.2</v>
      </c>
      <c r="H47" s="5">
        <v>4.75</v>
      </c>
      <c r="I47" s="5"/>
      <c r="J47" s="5"/>
      <c r="K47" s="5">
        <v>2.357894736842105</v>
      </c>
      <c r="L47" s="17"/>
      <c r="M47" s="6">
        <v>65</v>
      </c>
      <c r="N47" s="13"/>
      <c r="O47" s="13">
        <v>-20</v>
      </c>
      <c r="P47" s="13"/>
      <c r="Q47" s="5"/>
      <c r="R47" s="5"/>
      <c r="S47" s="5">
        <v>10.8</v>
      </c>
      <c r="T47" s="5">
        <v>6.45</v>
      </c>
      <c r="U47" s="5"/>
      <c r="V47" s="5"/>
      <c r="W47" s="5">
        <v>1.6744186046511629</v>
      </c>
      <c r="X47" s="19"/>
      <c r="Y47" s="17"/>
      <c r="Z47" s="5"/>
      <c r="AA47" s="5"/>
      <c r="AB47" s="5"/>
      <c r="AC47" s="5"/>
      <c r="AD47" s="13"/>
      <c r="AE47" s="13" t="s">
        <v>38</v>
      </c>
      <c r="AF47" s="7">
        <v>13.2</v>
      </c>
      <c r="AG47" s="7">
        <v>3.25</v>
      </c>
      <c r="AH47" s="7">
        <f>AF47/AG47</f>
        <v>4.0615384615384613</v>
      </c>
    </row>
    <row r="48" spans="1:34" x14ac:dyDescent="0.4">
      <c r="A48" s="3"/>
      <c r="C48" s="2">
        <v>-15</v>
      </c>
      <c r="D48" s="2"/>
      <c r="E48" s="5"/>
      <c r="F48" s="5"/>
      <c r="G48" s="5">
        <v>12</v>
      </c>
      <c r="H48" s="5">
        <v>4.5599999999999996</v>
      </c>
      <c r="I48" s="5"/>
      <c r="J48" s="5"/>
      <c r="K48" s="5">
        <v>2.6315789473684212</v>
      </c>
      <c r="L48" s="17"/>
      <c r="M48" s="6">
        <v>75</v>
      </c>
      <c r="N48" s="13"/>
      <c r="O48" s="13">
        <v>-15</v>
      </c>
      <c r="P48" s="13"/>
      <c r="Q48" s="5"/>
      <c r="R48" s="5"/>
      <c r="S48" s="5">
        <v>12</v>
      </c>
      <c r="T48" s="5">
        <v>6</v>
      </c>
      <c r="U48" s="5"/>
      <c r="V48" s="5"/>
      <c r="W48" s="5">
        <v>2</v>
      </c>
      <c r="X48" s="19"/>
      <c r="Y48" s="17"/>
      <c r="Z48" s="5"/>
      <c r="AA48" s="5"/>
      <c r="AB48" s="5"/>
      <c r="AC48" s="5"/>
      <c r="AD48" s="13"/>
      <c r="AE48" s="13" t="s">
        <v>40</v>
      </c>
      <c r="AF48" s="7">
        <v>12</v>
      </c>
      <c r="AG48" s="7">
        <v>2.8</v>
      </c>
      <c r="AH48" s="7">
        <f>AF48/AG48</f>
        <v>4.2857142857142856</v>
      </c>
    </row>
    <row r="49" spans="1:34" x14ac:dyDescent="0.4">
      <c r="A49" s="3"/>
      <c r="C49" s="2">
        <v>-10</v>
      </c>
      <c r="D49" s="2"/>
      <c r="E49" s="5"/>
      <c r="F49" s="5"/>
      <c r="G49" s="29" t="s">
        <v>61</v>
      </c>
      <c r="H49" s="29" t="s">
        <v>61</v>
      </c>
      <c r="I49" s="5"/>
      <c r="J49" s="5"/>
      <c r="K49" s="29" t="s">
        <v>61</v>
      </c>
      <c r="L49" s="17"/>
      <c r="M49" s="6">
        <v>75</v>
      </c>
      <c r="N49" s="13"/>
      <c r="O49" s="13">
        <v>-10</v>
      </c>
      <c r="P49" s="13"/>
      <c r="Q49" s="5"/>
      <c r="R49" s="5"/>
      <c r="S49" s="29" t="s">
        <v>61</v>
      </c>
      <c r="T49" s="29" t="s">
        <v>61</v>
      </c>
      <c r="U49" s="5"/>
      <c r="V49" s="5"/>
      <c r="W49" s="29" t="s">
        <v>61</v>
      </c>
      <c r="X49" s="19"/>
      <c r="Y49" s="17" t="s">
        <v>39</v>
      </c>
      <c r="Z49" s="5">
        <v>12</v>
      </c>
      <c r="AA49" s="5">
        <v>2.91</v>
      </c>
      <c r="AB49" s="5">
        <v>12</v>
      </c>
      <c r="AC49" s="5">
        <v>2.12</v>
      </c>
      <c r="AD49" s="13"/>
    </row>
    <row r="50" spans="1:34" x14ac:dyDescent="0.4">
      <c r="A50" s="3"/>
      <c r="C50" s="2">
        <v>-7</v>
      </c>
      <c r="D50" s="2"/>
      <c r="E50" s="5"/>
      <c r="F50" s="5"/>
      <c r="G50" s="5">
        <v>12</v>
      </c>
      <c r="H50" s="5">
        <v>4</v>
      </c>
      <c r="I50" s="5"/>
      <c r="J50" s="5"/>
      <c r="K50" s="5">
        <v>3</v>
      </c>
      <c r="L50" s="17"/>
      <c r="M50" s="6">
        <v>75</v>
      </c>
      <c r="N50" s="13"/>
      <c r="O50" s="13">
        <v>-7</v>
      </c>
      <c r="P50" s="13"/>
      <c r="Q50" s="5"/>
      <c r="R50" s="5"/>
      <c r="S50" s="5">
        <v>12</v>
      </c>
      <c r="T50" s="5">
        <v>5.53</v>
      </c>
      <c r="U50" s="5"/>
      <c r="V50" s="5"/>
      <c r="W50" s="5">
        <v>2.1699819168173597</v>
      </c>
      <c r="X50" s="19"/>
      <c r="Y50" s="5">
        <f>AA50*(1.029-(0.05*Z50/G52))</f>
        <v>2.7476849999999997</v>
      </c>
      <c r="Z50" s="5">
        <v>10.6</v>
      </c>
      <c r="AA50" s="5">
        <v>2.79</v>
      </c>
      <c r="AB50" s="5">
        <v>10.6</v>
      </c>
      <c r="AC50" s="5">
        <v>2.2200000000000002</v>
      </c>
      <c r="AD50" s="13"/>
      <c r="AE50" s="13"/>
      <c r="AF50" s="19"/>
      <c r="AG50" s="19"/>
      <c r="AH50" s="20"/>
    </row>
    <row r="51" spans="1:34" x14ac:dyDescent="0.4">
      <c r="A51" s="3"/>
      <c r="C51" s="2">
        <v>2</v>
      </c>
      <c r="D51" s="2"/>
      <c r="E51" s="5"/>
      <c r="F51" s="5"/>
      <c r="G51" s="5">
        <v>12</v>
      </c>
      <c r="H51" s="5">
        <v>3.39</v>
      </c>
      <c r="I51" s="5"/>
      <c r="J51" s="5"/>
      <c r="K51" s="5">
        <v>3.5398230088495577</v>
      </c>
      <c r="L51" s="17"/>
      <c r="M51" s="6">
        <v>75</v>
      </c>
      <c r="N51" s="13"/>
      <c r="O51" s="13">
        <v>2</v>
      </c>
      <c r="P51" s="13"/>
      <c r="Q51" s="5"/>
      <c r="R51" s="5"/>
      <c r="S51" s="5">
        <v>12</v>
      </c>
      <c r="T51" s="5">
        <v>4.95</v>
      </c>
      <c r="U51" s="5"/>
      <c r="V51" s="5"/>
      <c r="W51" s="5">
        <v>2.4242424242424243</v>
      </c>
      <c r="X51" s="19"/>
      <c r="Y51" s="5">
        <f>AA51*(0.906-(0.044*Z51/G52))</f>
        <v>4.1020750000000001</v>
      </c>
      <c r="Z51" s="5">
        <v>6.5</v>
      </c>
      <c r="AA51" s="5">
        <v>4.6500000000000004</v>
      </c>
      <c r="AB51" s="5">
        <v>6.5</v>
      </c>
      <c r="AC51" s="5">
        <v>3.65</v>
      </c>
      <c r="AD51" s="13"/>
      <c r="AE51" s="13"/>
      <c r="AF51" s="19"/>
      <c r="AG51" s="19"/>
      <c r="AH51" s="20"/>
    </row>
    <row r="52" spans="1:34" x14ac:dyDescent="0.4">
      <c r="A52" s="3"/>
      <c r="C52" s="2">
        <v>7</v>
      </c>
      <c r="D52" s="2"/>
      <c r="E52" s="5"/>
      <c r="F52" s="5"/>
      <c r="G52" s="5">
        <v>12</v>
      </c>
      <c r="H52" s="5">
        <v>2.37</v>
      </c>
      <c r="I52" s="5"/>
      <c r="J52" s="5"/>
      <c r="K52" s="5">
        <v>5.0632911392405067</v>
      </c>
      <c r="L52" s="17"/>
      <c r="M52" s="6">
        <v>75</v>
      </c>
      <c r="N52" s="13"/>
      <c r="O52" s="13">
        <v>7</v>
      </c>
      <c r="P52" s="13"/>
      <c r="Q52" s="5"/>
      <c r="R52" s="5"/>
      <c r="S52" s="5">
        <v>12</v>
      </c>
      <c r="T52" s="5">
        <v>3.71</v>
      </c>
      <c r="U52" s="5"/>
      <c r="V52" s="5"/>
      <c r="W52" s="5">
        <v>3.2345013477088949</v>
      </c>
      <c r="X52" s="19"/>
      <c r="Y52" s="5">
        <f>K52</f>
        <v>5.0632911392405067</v>
      </c>
      <c r="Z52" s="5">
        <v>5.3</v>
      </c>
      <c r="AA52" s="5">
        <v>6.25</v>
      </c>
      <c r="AB52" s="5">
        <v>4.9000000000000004</v>
      </c>
      <c r="AC52" s="5">
        <v>4.57</v>
      </c>
      <c r="AD52" s="13"/>
      <c r="AE52" s="13"/>
      <c r="AF52" s="19"/>
      <c r="AG52" s="19"/>
      <c r="AH52" s="20"/>
    </row>
    <row r="53" spans="1:34" x14ac:dyDescent="0.4">
      <c r="A53" s="3"/>
      <c r="C53" s="2">
        <v>12</v>
      </c>
      <c r="D53" s="2"/>
      <c r="E53" s="5"/>
      <c r="F53" s="5"/>
      <c r="G53" s="29" t="s">
        <v>61</v>
      </c>
      <c r="H53" s="29" t="s">
        <v>61</v>
      </c>
      <c r="I53" s="5"/>
      <c r="J53" s="5"/>
      <c r="K53" s="29" t="s">
        <v>61</v>
      </c>
      <c r="L53" s="17"/>
      <c r="M53" s="6">
        <v>75</v>
      </c>
      <c r="N53" s="13"/>
      <c r="O53" s="13">
        <v>12</v>
      </c>
      <c r="P53" s="13"/>
      <c r="Q53" s="5"/>
      <c r="R53" s="5"/>
      <c r="S53" s="29" t="s">
        <v>61</v>
      </c>
      <c r="T53" s="29" t="s">
        <v>61</v>
      </c>
      <c r="U53" s="5"/>
      <c r="V53" s="5"/>
      <c r="W53" s="29" t="s">
        <v>61</v>
      </c>
      <c r="X53" s="19"/>
      <c r="Y53" s="17"/>
      <c r="Z53" s="5">
        <v>6.1</v>
      </c>
      <c r="AA53" s="5">
        <v>7.78</v>
      </c>
      <c r="AB53" s="5">
        <v>5.7</v>
      </c>
      <c r="AC53" s="5">
        <v>5.84</v>
      </c>
      <c r="AD53" s="13"/>
      <c r="AE53" s="13"/>
      <c r="AF53" s="19"/>
      <c r="AG53" s="19"/>
      <c r="AH53" s="20"/>
    </row>
    <row r="54" spans="1:34" x14ac:dyDescent="0.4">
      <c r="A54" s="8"/>
      <c r="B54" s="8"/>
      <c r="C54" s="9"/>
      <c r="D54" s="9"/>
      <c r="E54" s="18"/>
      <c r="F54" s="18"/>
      <c r="G54" s="38"/>
      <c r="H54" s="37"/>
      <c r="I54" s="22"/>
      <c r="J54" s="22"/>
      <c r="K54" s="37"/>
      <c r="L54" s="18"/>
      <c r="M54" s="14"/>
      <c r="N54" s="14"/>
      <c r="O54" s="14"/>
      <c r="P54" s="14"/>
      <c r="Q54" s="18"/>
      <c r="R54" s="22"/>
      <c r="S54" s="22"/>
      <c r="T54" s="22"/>
      <c r="U54" s="22"/>
      <c r="V54" s="22"/>
      <c r="W54" s="22"/>
      <c r="X54" s="14"/>
      <c r="Y54" s="31"/>
      <c r="Z54" s="31"/>
      <c r="AA54" s="31"/>
      <c r="AB54" s="31"/>
      <c r="AC54" s="31"/>
      <c r="AD54" s="14"/>
      <c r="AE54" s="14"/>
      <c r="AF54" s="14"/>
      <c r="AG54" s="14"/>
      <c r="AH54" s="14"/>
    </row>
    <row r="55" spans="1:34" x14ac:dyDescent="0.4">
      <c r="A55" s="3" t="s">
        <v>144</v>
      </c>
      <c r="B55" s="1" t="s">
        <v>133</v>
      </c>
      <c r="C55" s="4">
        <v>-28</v>
      </c>
      <c r="D55" s="2"/>
      <c r="E55" s="5"/>
      <c r="F55" s="5"/>
      <c r="G55" s="5"/>
      <c r="H55" s="5"/>
      <c r="I55" s="5"/>
      <c r="J55" s="5"/>
      <c r="K55" s="5"/>
      <c r="L55" s="17"/>
      <c r="M55" s="6">
        <v>55</v>
      </c>
      <c r="N55" s="13"/>
      <c r="O55" s="4">
        <v>-28</v>
      </c>
      <c r="P55" s="13"/>
      <c r="Q55" s="5"/>
      <c r="R55" s="5"/>
      <c r="S55" s="5"/>
      <c r="T55" s="5"/>
      <c r="U55" s="5"/>
      <c r="V55" s="5"/>
      <c r="W55" s="5"/>
      <c r="X55" s="4">
        <v>6</v>
      </c>
      <c r="Y55" s="17"/>
      <c r="Z55" s="5"/>
      <c r="AA55" s="5"/>
      <c r="AB55" s="5"/>
      <c r="AC55" s="5"/>
      <c r="AD55" s="13"/>
      <c r="AE55" s="13" t="s">
        <v>37</v>
      </c>
      <c r="AF55" s="7">
        <v>12</v>
      </c>
      <c r="AG55" s="7">
        <v>4.21</v>
      </c>
      <c r="AH55" s="7">
        <f>AF55/AG55</f>
        <v>2.8503562945368173</v>
      </c>
    </row>
    <row r="56" spans="1:34" x14ac:dyDescent="0.4">
      <c r="A56" s="3"/>
      <c r="C56" s="13">
        <v>-25</v>
      </c>
      <c r="D56" s="2"/>
      <c r="E56" s="5"/>
      <c r="F56" s="5"/>
      <c r="G56" s="5">
        <v>10.5</v>
      </c>
      <c r="H56" s="5">
        <v>5.55</v>
      </c>
      <c r="I56" s="5"/>
      <c r="J56" s="5"/>
      <c r="K56" s="5">
        <v>1.8918918918918919</v>
      </c>
      <c r="L56" s="17"/>
      <c r="M56" s="6">
        <v>55</v>
      </c>
      <c r="N56" s="13"/>
      <c r="O56" s="13">
        <v>-25</v>
      </c>
      <c r="P56" s="13"/>
      <c r="Q56" s="5"/>
      <c r="R56" s="5"/>
      <c r="S56" s="5">
        <v>9.6999999999999993</v>
      </c>
      <c r="T56" s="5">
        <v>7.4</v>
      </c>
      <c r="U56" s="5"/>
      <c r="V56" s="5"/>
      <c r="W56" s="5">
        <v>1.3108108108108107</v>
      </c>
      <c r="X56" s="19"/>
      <c r="Y56" s="17"/>
      <c r="Z56" s="5"/>
      <c r="AA56" s="5"/>
      <c r="AB56" s="5"/>
      <c r="AC56" s="5"/>
      <c r="AD56" s="13"/>
      <c r="AE56" s="13"/>
      <c r="AF56" s="7"/>
      <c r="AG56" s="7"/>
      <c r="AH56" s="7"/>
    </row>
    <row r="57" spans="1:34" x14ac:dyDescent="0.4">
      <c r="A57" s="46"/>
      <c r="C57" s="13">
        <v>-20</v>
      </c>
      <c r="D57" s="2"/>
      <c r="E57" s="5"/>
      <c r="F57" s="5"/>
      <c r="G57" s="5">
        <v>11.2</v>
      </c>
      <c r="H57" s="5">
        <v>4.75</v>
      </c>
      <c r="I57" s="5"/>
      <c r="J57" s="5"/>
      <c r="K57" s="5">
        <v>2.357894736842105</v>
      </c>
      <c r="L57" s="17"/>
      <c r="M57" s="6">
        <v>65</v>
      </c>
      <c r="N57" s="13"/>
      <c r="O57" s="13">
        <v>-20</v>
      </c>
      <c r="P57" s="13"/>
      <c r="Q57" s="5"/>
      <c r="R57" s="5"/>
      <c r="S57" s="5">
        <v>10.8</v>
      </c>
      <c r="T57" s="5">
        <v>6.45</v>
      </c>
      <c r="U57" s="5"/>
      <c r="V57" s="5"/>
      <c r="W57" s="5">
        <v>1.6744186046511629</v>
      </c>
      <c r="X57" s="19"/>
      <c r="Y57" s="17"/>
      <c r="Z57" s="5"/>
      <c r="AA57" s="5"/>
      <c r="AB57" s="5"/>
      <c r="AC57" s="5"/>
      <c r="AD57" s="13"/>
      <c r="AE57" s="13" t="s">
        <v>38</v>
      </c>
      <c r="AF57" s="7">
        <v>13.2</v>
      </c>
      <c r="AG57" s="7">
        <v>3.25</v>
      </c>
      <c r="AH57" s="7">
        <f>AF57/AG57</f>
        <v>4.0615384615384613</v>
      </c>
    </row>
    <row r="58" spans="1:34" x14ac:dyDescent="0.4">
      <c r="A58" s="3"/>
      <c r="C58" s="2">
        <v>-15</v>
      </c>
      <c r="D58" s="2"/>
      <c r="E58" s="5"/>
      <c r="F58" s="5"/>
      <c r="G58" s="5">
        <v>12</v>
      </c>
      <c r="H58" s="5">
        <v>4.5599999999999996</v>
      </c>
      <c r="I58" s="5"/>
      <c r="J58" s="5"/>
      <c r="K58" s="5">
        <v>2.6315789473684212</v>
      </c>
      <c r="L58" s="17"/>
      <c r="M58" s="6">
        <v>75</v>
      </c>
      <c r="N58" s="13"/>
      <c r="O58" s="13">
        <v>-15</v>
      </c>
      <c r="P58" s="13"/>
      <c r="Q58" s="5"/>
      <c r="R58" s="5"/>
      <c r="S58" s="5">
        <v>12</v>
      </c>
      <c r="T58" s="5">
        <v>6</v>
      </c>
      <c r="U58" s="5"/>
      <c r="V58" s="5"/>
      <c r="W58" s="5">
        <v>2</v>
      </c>
      <c r="X58" s="19"/>
      <c r="Y58" s="17"/>
      <c r="Z58" s="5"/>
      <c r="AA58" s="5"/>
      <c r="AB58" s="5"/>
      <c r="AC58" s="5"/>
      <c r="AD58" s="13"/>
      <c r="AE58" s="13" t="s">
        <v>40</v>
      </c>
      <c r="AF58" s="7">
        <v>12</v>
      </c>
      <c r="AG58" s="7">
        <v>2.8</v>
      </c>
      <c r="AH58" s="7">
        <f>AF58/AG58</f>
        <v>4.2857142857142856</v>
      </c>
    </row>
    <row r="59" spans="1:34" x14ac:dyDescent="0.4">
      <c r="A59" s="3"/>
      <c r="C59" s="2">
        <v>-10</v>
      </c>
      <c r="D59" s="2"/>
      <c r="E59" s="5"/>
      <c r="F59" s="5"/>
      <c r="G59" s="29" t="s">
        <v>61</v>
      </c>
      <c r="H59" s="29" t="s">
        <v>61</v>
      </c>
      <c r="I59" s="5"/>
      <c r="J59" s="5"/>
      <c r="K59" s="29" t="s">
        <v>61</v>
      </c>
      <c r="L59" s="17"/>
      <c r="M59" s="6">
        <v>75</v>
      </c>
      <c r="N59" s="13"/>
      <c r="O59" s="13">
        <v>-10</v>
      </c>
      <c r="P59" s="13"/>
      <c r="Q59" s="5"/>
      <c r="R59" s="5"/>
      <c r="S59" s="29" t="s">
        <v>61</v>
      </c>
      <c r="T59" s="29" t="s">
        <v>61</v>
      </c>
      <c r="U59" s="5"/>
      <c r="V59" s="5"/>
      <c r="W59" s="29" t="s">
        <v>61</v>
      </c>
      <c r="X59" s="19"/>
      <c r="Y59" s="17" t="s">
        <v>39</v>
      </c>
      <c r="Z59" s="5">
        <v>12</v>
      </c>
      <c r="AA59" s="5">
        <v>2.91</v>
      </c>
      <c r="AB59" s="5">
        <v>12</v>
      </c>
      <c r="AC59" s="5">
        <v>2.12</v>
      </c>
      <c r="AD59" s="13"/>
    </row>
    <row r="60" spans="1:34" x14ac:dyDescent="0.4">
      <c r="A60" s="3"/>
      <c r="C60" s="2">
        <v>-7</v>
      </c>
      <c r="D60" s="2"/>
      <c r="E60" s="5"/>
      <c r="F60" s="5"/>
      <c r="G60" s="5">
        <v>12</v>
      </c>
      <c r="H60" s="5">
        <v>4</v>
      </c>
      <c r="I60" s="5"/>
      <c r="J60" s="5"/>
      <c r="K60" s="5">
        <v>3</v>
      </c>
      <c r="L60" s="17"/>
      <c r="M60" s="6">
        <v>75</v>
      </c>
      <c r="N60" s="13"/>
      <c r="O60" s="13">
        <v>-7</v>
      </c>
      <c r="P60" s="13"/>
      <c r="Q60" s="5"/>
      <c r="R60" s="5"/>
      <c r="S60" s="5">
        <v>12</v>
      </c>
      <c r="T60" s="5">
        <v>5.53</v>
      </c>
      <c r="U60" s="5"/>
      <c r="V60" s="5"/>
      <c r="W60" s="5">
        <v>2.1699819168173597</v>
      </c>
      <c r="X60" s="19"/>
      <c r="Y60" s="5">
        <f>AA60*(1.029-(0.05*Z60/G62))</f>
        <v>2.7476849999999997</v>
      </c>
      <c r="Z60" s="5">
        <v>10.6</v>
      </c>
      <c r="AA60" s="5">
        <v>2.79</v>
      </c>
      <c r="AB60" s="5">
        <v>10.6</v>
      </c>
      <c r="AC60" s="5">
        <v>2.2200000000000002</v>
      </c>
      <c r="AD60" s="13"/>
      <c r="AE60" s="13"/>
      <c r="AF60" s="19"/>
      <c r="AG60" s="19"/>
      <c r="AH60" s="20"/>
    </row>
    <row r="61" spans="1:34" x14ac:dyDescent="0.4">
      <c r="A61" s="3"/>
      <c r="C61" s="2">
        <v>2</v>
      </c>
      <c r="D61" s="2"/>
      <c r="E61" s="5"/>
      <c r="F61" s="5"/>
      <c r="G61" s="5">
        <v>12</v>
      </c>
      <c r="H61" s="5">
        <v>3.39</v>
      </c>
      <c r="I61" s="5"/>
      <c r="J61" s="5"/>
      <c r="K61" s="5">
        <v>3.5398230088495577</v>
      </c>
      <c r="L61" s="17"/>
      <c r="M61" s="6">
        <v>75</v>
      </c>
      <c r="N61" s="13"/>
      <c r="O61" s="13">
        <v>2</v>
      </c>
      <c r="P61" s="13"/>
      <c r="Q61" s="5"/>
      <c r="R61" s="5"/>
      <c r="S61" s="5">
        <v>12</v>
      </c>
      <c r="T61" s="5">
        <v>4.95</v>
      </c>
      <c r="U61" s="5"/>
      <c r="V61" s="5"/>
      <c r="W61" s="5">
        <v>2.4242424242424243</v>
      </c>
      <c r="X61" s="19"/>
      <c r="Y61" s="5">
        <f>AA61*(0.906-(0.044*Z61/G62))</f>
        <v>4.1020750000000001</v>
      </c>
      <c r="Z61" s="5">
        <v>6.5</v>
      </c>
      <c r="AA61" s="5">
        <v>4.6500000000000004</v>
      </c>
      <c r="AB61" s="5">
        <v>6.5</v>
      </c>
      <c r="AC61" s="5">
        <v>3.65</v>
      </c>
      <c r="AD61" s="13"/>
      <c r="AE61" s="13"/>
      <c r="AF61" s="19"/>
      <c r="AG61" s="19"/>
      <c r="AH61" s="20"/>
    </row>
    <row r="62" spans="1:34" x14ac:dyDescent="0.4">
      <c r="A62" s="3"/>
      <c r="C62" s="2">
        <v>7</v>
      </c>
      <c r="D62" s="2"/>
      <c r="E62" s="5"/>
      <c r="F62" s="5"/>
      <c r="G62" s="5">
        <v>12</v>
      </c>
      <c r="H62" s="5">
        <v>2.37</v>
      </c>
      <c r="I62" s="5"/>
      <c r="J62" s="5"/>
      <c r="K62" s="5">
        <v>5.0632911392405067</v>
      </c>
      <c r="L62" s="17"/>
      <c r="M62" s="6">
        <v>75</v>
      </c>
      <c r="N62" s="13"/>
      <c r="O62" s="13">
        <v>7</v>
      </c>
      <c r="P62" s="13"/>
      <c r="Q62" s="5"/>
      <c r="R62" s="5"/>
      <c r="S62" s="5">
        <v>12</v>
      </c>
      <c r="T62" s="5">
        <v>3.71</v>
      </c>
      <c r="U62" s="5"/>
      <c r="V62" s="5"/>
      <c r="W62" s="5">
        <v>3.2345013477088949</v>
      </c>
      <c r="X62" s="19"/>
      <c r="Y62" s="5">
        <f>K62</f>
        <v>5.0632911392405067</v>
      </c>
      <c r="Z62" s="5">
        <v>5.3</v>
      </c>
      <c r="AA62" s="5">
        <v>6.25</v>
      </c>
      <c r="AB62" s="5">
        <v>4.9000000000000004</v>
      </c>
      <c r="AC62" s="5">
        <v>4.57</v>
      </c>
      <c r="AD62" s="13"/>
      <c r="AE62" s="13"/>
      <c r="AF62" s="19"/>
      <c r="AG62" s="19"/>
      <c r="AH62" s="20"/>
    </row>
    <row r="63" spans="1:34" x14ac:dyDescent="0.4">
      <c r="A63" s="3"/>
      <c r="C63" s="2">
        <v>12</v>
      </c>
      <c r="D63" s="2"/>
      <c r="E63" s="5"/>
      <c r="F63" s="5"/>
      <c r="G63" s="29" t="s">
        <v>61</v>
      </c>
      <c r="H63" s="29" t="s">
        <v>61</v>
      </c>
      <c r="I63" s="5"/>
      <c r="J63" s="5"/>
      <c r="K63" s="29" t="s">
        <v>61</v>
      </c>
      <c r="L63" s="17"/>
      <c r="M63" s="6">
        <v>75</v>
      </c>
      <c r="N63" s="13"/>
      <c r="O63" s="13">
        <v>12</v>
      </c>
      <c r="P63" s="13"/>
      <c r="Q63" s="5"/>
      <c r="R63" s="5"/>
      <c r="S63" s="29" t="s">
        <v>61</v>
      </c>
      <c r="T63" s="29" t="s">
        <v>61</v>
      </c>
      <c r="U63" s="5"/>
      <c r="V63" s="5"/>
      <c r="W63" s="29" t="s">
        <v>61</v>
      </c>
      <c r="X63" s="19"/>
      <c r="Y63" s="17"/>
      <c r="Z63" s="5">
        <v>6.1</v>
      </c>
      <c r="AA63" s="5">
        <v>7.78</v>
      </c>
      <c r="AB63" s="5">
        <v>5.7</v>
      </c>
      <c r="AC63" s="5">
        <v>5.84</v>
      </c>
      <c r="AD63" s="13"/>
      <c r="AE63" s="13"/>
      <c r="AF63" s="19"/>
      <c r="AG63" s="19"/>
      <c r="AH63" s="20"/>
    </row>
    <row r="64" spans="1:34" x14ac:dyDescent="0.4">
      <c r="A64" s="8"/>
      <c r="B64" s="8"/>
      <c r="C64" s="9"/>
      <c r="D64" s="9"/>
      <c r="E64" s="18"/>
      <c r="F64" s="18"/>
      <c r="G64" s="22"/>
      <c r="H64" s="22"/>
      <c r="I64" s="22"/>
      <c r="J64" s="22"/>
      <c r="K64" s="22"/>
      <c r="L64" s="18"/>
      <c r="M64" s="18"/>
      <c r="N64" s="14"/>
      <c r="O64" s="14"/>
      <c r="P64" s="14"/>
      <c r="Q64" s="18"/>
      <c r="R64" s="22"/>
      <c r="S64" s="22"/>
      <c r="T64" s="22"/>
      <c r="U64" s="22"/>
      <c r="V64" s="22"/>
      <c r="W64" s="22"/>
      <c r="X64" s="18"/>
      <c r="Y64" s="22"/>
      <c r="Z64" s="22"/>
      <c r="AA64" s="22"/>
      <c r="AB64" s="22"/>
      <c r="AC64" s="22"/>
      <c r="AD64" s="14"/>
      <c r="AE64" s="14"/>
      <c r="AF64" s="18"/>
      <c r="AG64" s="18"/>
      <c r="AH64" s="18"/>
    </row>
    <row r="65" spans="1:34" x14ac:dyDescent="0.4">
      <c r="A65" s="3" t="s">
        <v>137</v>
      </c>
      <c r="B65" s="1" t="s">
        <v>133</v>
      </c>
      <c r="C65" s="4">
        <v>-28</v>
      </c>
      <c r="D65" s="2"/>
      <c r="E65" s="5"/>
      <c r="F65" s="5"/>
      <c r="G65" s="5"/>
      <c r="H65" s="5"/>
      <c r="I65" s="5"/>
      <c r="J65" s="5"/>
      <c r="K65" s="5"/>
      <c r="L65" s="17"/>
      <c r="M65" s="6">
        <v>55</v>
      </c>
      <c r="N65" s="13"/>
      <c r="O65" s="4">
        <v>-28</v>
      </c>
      <c r="P65" s="13"/>
      <c r="Q65" s="5"/>
      <c r="R65" s="5"/>
      <c r="S65" s="5"/>
      <c r="T65" s="5"/>
      <c r="U65" s="5"/>
      <c r="V65" s="5"/>
      <c r="W65" s="5"/>
      <c r="X65" s="4">
        <v>3</v>
      </c>
      <c r="Y65" s="17"/>
      <c r="Z65" s="5"/>
      <c r="AA65" s="5"/>
      <c r="AB65" s="5"/>
      <c r="AC65" s="5"/>
      <c r="AD65" s="13"/>
      <c r="AE65" s="13" t="s">
        <v>37</v>
      </c>
      <c r="AF65" s="7">
        <v>12</v>
      </c>
      <c r="AG65" s="7">
        <v>4.21</v>
      </c>
      <c r="AH65" s="7">
        <f>AF65/AG65</f>
        <v>2.8503562945368173</v>
      </c>
    </row>
    <row r="66" spans="1:34" x14ac:dyDescent="0.4">
      <c r="A66" s="3"/>
      <c r="C66" s="13">
        <v>-25</v>
      </c>
      <c r="D66" s="2"/>
      <c r="E66" s="5"/>
      <c r="F66" s="5"/>
      <c r="G66" s="5">
        <v>10.5</v>
      </c>
      <c r="H66" s="5">
        <v>5.55</v>
      </c>
      <c r="I66" s="5"/>
      <c r="J66" s="5"/>
      <c r="K66" s="5">
        <v>1.8918918918918919</v>
      </c>
      <c r="L66" s="17"/>
      <c r="M66" s="6">
        <v>55</v>
      </c>
      <c r="N66" s="13"/>
      <c r="O66" s="13">
        <v>-25</v>
      </c>
      <c r="P66" s="13"/>
      <c r="Q66" s="5"/>
      <c r="R66" s="5"/>
      <c r="S66" s="5">
        <v>9.6999999999999993</v>
      </c>
      <c r="T66" s="5">
        <v>7.4</v>
      </c>
      <c r="U66" s="5"/>
      <c r="V66" s="5"/>
      <c r="W66" s="5">
        <v>1.3108108108108107</v>
      </c>
      <c r="X66" s="19"/>
      <c r="Y66" s="17"/>
      <c r="Z66" s="5"/>
      <c r="AA66" s="5"/>
      <c r="AB66" s="5"/>
      <c r="AC66" s="5"/>
      <c r="AD66" s="13"/>
      <c r="AE66" s="13"/>
      <c r="AF66" s="7"/>
      <c r="AG66" s="7"/>
      <c r="AH66" s="7"/>
    </row>
    <row r="67" spans="1:34" x14ac:dyDescent="0.4">
      <c r="A67" s="46"/>
      <c r="C67" s="13">
        <v>-20</v>
      </c>
      <c r="D67" s="2"/>
      <c r="E67" s="5"/>
      <c r="F67" s="5"/>
      <c r="G67" s="5">
        <v>11.2</v>
      </c>
      <c r="H67" s="5">
        <v>4.75</v>
      </c>
      <c r="I67" s="5"/>
      <c r="J67" s="5"/>
      <c r="K67" s="5">
        <v>2.357894736842105</v>
      </c>
      <c r="L67" s="17"/>
      <c r="M67" s="6">
        <v>65</v>
      </c>
      <c r="N67" s="13"/>
      <c r="O67" s="13">
        <v>-20</v>
      </c>
      <c r="P67" s="13"/>
      <c r="Q67" s="5"/>
      <c r="R67" s="5"/>
      <c r="S67" s="5">
        <v>10.8</v>
      </c>
      <c r="T67" s="5">
        <v>6.45</v>
      </c>
      <c r="U67" s="5"/>
      <c r="V67" s="5"/>
      <c r="W67" s="5">
        <v>1.6744186046511629</v>
      </c>
      <c r="X67" s="19"/>
      <c r="Y67" s="17"/>
      <c r="Z67" s="5"/>
      <c r="AA67" s="5"/>
      <c r="AB67" s="5"/>
      <c r="AC67" s="5"/>
      <c r="AD67" s="13"/>
      <c r="AE67" s="13" t="s">
        <v>38</v>
      </c>
      <c r="AF67" s="7">
        <v>13.2</v>
      </c>
      <c r="AG67" s="7">
        <v>3.25</v>
      </c>
      <c r="AH67" s="7">
        <f>AF67/AG67</f>
        <v>4.0615384615384613</v>
      </c>
    </row>
    <row r="68" spans="1:34" x14ac:dyDescent="0.4">
      <c r="A68" s="3"/>
      <c r="C68" s="2">
        <v>-15</v>
      </c>
      <c r="D68" s="2"/>
      <c r="E68" s="5"/>
      <c r="F68" s="5"/>
      <c r="G68" s="5">
        <v>12</v>
      </c>
      <c r="H68" s="5">
        <v>4.5599999999999996</v>
      </c>
      <c r="I68" s="5"/>
      <c r="J68" s="5"/>
      <c r="K68" s="5">
        <v>2.6315789473684212</v>
      </c>
      <c r="L68" s="17"/>
      <c r="M68" s="6">
        <v>75</v>
      </c>
      <c r="N68" s="13"/>
      <c r="O68" s="13">
        <v>-15</v>
      </c>
      <c r="P68" s="13"/>
      <c r="Q68" s="5"/>
      <c r="R68" s="5"/>
      <c r="S68" s="5">
        <v>12</v>
      </c>
      <c r="T68" s="5">
        <v>6</v>
      </c>
      <c r="U68" s="5"/>
      <c r="V68" s="5"/>
      <c r="W68" s="5">
        <v>2</v>
      </c>
      <c r="X68" s="19"/>
      <c r="Y68" s="17"/>
      <c r="Z68" s="5"/>
      <c r="AA68" s="5"/>
      <c r="AB68" s="5"/>
      <c r="AC68" s="5"/>
      <c r="AD68" s="13"/>
      <c r="AE68" s="13" t="s">
        <v>40</v>
      </c>
      <c r="AF68" s="7">
        <v>12</v>
      </c>
      <c r="AG68" s="7">
        <v>2.8</v>
      </c>
      <c r="AH68" s="7">
        <f>AF68/AG68</f>
        <v>4.2857142857142856</v>
      </c>
    </row>
    <row r="69" spans="1:34" x14ac:dyDescent="0.4">
      <c r="A69" s="3"/>
      <c r="C69" s="2">
        <v>-10</v>
      </c>
      <c r="D69" s="2"/>
      <c r="E69" s="5"/>
      <c r="F69" s="5"/>
      <c r="G69" s="29" t="s">
        <v>61</v>
      </c>
      <c r="H69" s="29" t="s">
        <v>61</v>
      </c>
      <c r="I69" s="5"/>
      <c r="J69" s="5"/>
      <c r="K69" s="29" t="s">
        <v>61</v>
      </c>
      <c r="L69" s="17"/>
      <c r="M69" s="6">
        <v>75</v>
      </c>
      <c r="N69" s="13"/>
      <c r="O69" s="13">
        <v>-10</v>
      </c>
      <c r="P69" s="13"/>
      <c r="Q69" s="5"/>
      <c r="R69" s="5"/>
      <c r="S69" s="29" t="s">
        <v>61</v>
      </c>
      <c r="T69" s="29" t="s">
        <v>61</v>
      </c>
      <c r="U69" s="5"/>
      <c r="V69" s="5"/>
      <c r="W69" s="29" t="s">
        <v>61</v>
      </c>
      <c r="X69" s="19"/>
      <c r="Y69" s="17" t="s">
        <v>39</v>
      </c>
      <c r="Z69" s="5">
        <v>12</v>
      </c>
      <c r="AA69" s="5">
        <v>2.91</v>
      </c>
      <c r="AB69" s="5">
        <v>12</v>
      </c>
      <c r="AC69" s="5">
        <v>2.12</v>
      </c>
      <c r="AD69" s="13"/>
    </row>
    <row r="70" spans="1:34" x14ac:dyDescent="0.4">
      <c r="A70" s="3"/>
      <c r="C70" s="2">
        <v>-7</v>
      </c>
      <c r="D70" s="2"/>
      <c r="E70" s="5"/>
      <c r="F70" s="5"/>
      <c r="G70" s="5">
        <v>12</v>
      </c>
      <c r="H70" s="5">
        <v>4</v>
      </c>
      <c r="I70" s="5"/>
      <c r="J70" s="5"/>
      <c r="K70" s="5">
        <v>3</v>
      </c>
      <c r="L70" s="17"/>
      <c r="M70" s="6">
        <v>75</v>
      </c>
      <c r="N70" s="13"/>
      <c r="O70" s="13">
        <v>-7</v>
      </c>
      <c r="P70" s="13"/>
      <c r="Q70" s="5"/>
      <c r="R70" s="5"/>
      <c r="S70" s="5">
        <v>12</v>
      </c>
      <c r="T70" s="5">
        <v>5.53</v>
      </c>
      <c r="U70" s="5"/>
      <c r="V70" s="5"/>
      <c r="W70" s="5">
        <v>2.1699819168173597</v>
      </c>
      <c r="X70" s="19"/>
      <c r="Y70" s="5">
        <f>AA70*(1.029-(0.05*Z70/G72))</f>
        <v>2.7476849999999997</v>
      </c>
      <c r="Z70" s="5">
        <v>10.6</v>
      </c>
      <c r="AA70" s="5">
        <v>2.79</v>
      </c>
      <c r="AB70" s="5">
        <v>10.6</v>
      </c>
      <c r="AC70" s="5">
        <v>2.2200000000000002</v>
      </c>
      <c r="AD70" s="13"/>
      <c r="AE70" s="13"/>
      <c r="AF70" s="19"/>
      <c r="AG70" s="19"/>
      <c r="AH70" s="20"/>
    </row>
    <row r="71" spans="1:34" x14ac:dyDescent="0.4">
      <c r="A71" s="3"/>
      <c r="C71" s="2">
        <v>2</v>
      </c>
      <c r="D71" s="2"/>
      <c r="E71" s="5"/>
      <c r="F71" s="5"/>
      <c r="G71" s="5">
        <v>12</v>
      </c>
      <c r="H71" s="5">
        <v>3.39</v>
      </c>
      <c r="I71" s="5"/>
      <c r="J71" s="5"/>
      <c r="K71" s="5">
        <v>3.5398230088495577</v>
      </c>
      <c r="L71" s="17"/>
      <c r="M71" s="6">
        <v>75</v>
      </c>
      <c r="N71" s="13"/>
      <c r="O71" s="13">
        <v>2</v>
      </c>
      <c r="P71" s="13"/>
      <c r="Q71" s="5"/>
      <c r="R71" s="5"/>
      <c r="S71" s="5">
        <v>12</v>
      </c>
      <c r="T71" s="5">
        <v>4.95</v>
      </c>
      <c r="U71" s="5"/>
      <c r="V71" s="5"/>
      <c r="W71" s="5">
        <v>2.4242424242424243</v>
      </c>
      <c r="X71" s="19"/>
      <c r="Y71" s="5">
        <f>AA71*(0.906-(0.044*Z71/G72))</f>
        <v>4.1020750000000001</v>
      </c>
      <c r="Z71" s="5">
        <v>6.5</v>
      </c>
      <c r="AA71" s="5">
        <v>4.6500000000000004</v>
      </c>
      <c r="AB71" s="5">
        <v>6.5</v>
      </c>
      <c r="AC71" s="5">
        <v>3.65</v>
      </c>
      <c r="AD71" s="13"/>
      <c r="AE71" s="13"/>
      <c r="AF71" s="19"/>
      <c r="AG71" s="19"/>
      <c r="AH71" s="20"/>
    </row>
    <row r="72" spans="1:34" x14ac:dyDescent="0.4">
      <c r="A72" s="3"/>
      <c r="C72" s="2">
        <v>7</v>
      </c>
      <c r="D72" s="2"/>
      <c r="E72" s="5"/>
      <c r="F72" s="5"/>
      <c r="G72" s="5">
        <v>12</v>
      </c>
      <c r="H72" s="5">
        <v>2.37</v>
      </c>
      <c r="I72" s="5"/>
      <c r="J72" s="5"/>
      <c r="K72" s="5">
        <v>5.0632911392405067</v>
      </c>
      <c r="L72" s="17"/>
      <c r="M72" s="6">
        <v>75</v>
      </c>
      <c r="N72" s="13"/>
      <c r="O72" s="13">
        <v>7</v>
      </c>
      <c r="P72" s="13"/>
      <c r="Q72" s="5"/>
      <c r="R72" s="5"/>
      <c r="S72" s="5">
        <v>12</v>
      </c>
      <c r="T72" s="5">
        <v>3.71</v>
      </c>
      <c r="U72" s="5"/>
      <c r="V72" s="5"/>
      <c r="W72" s="5">
        <v>3.2345013477088949</v>
      </c>
      <c r="X72" s="19"/>
      <c r="Y72" s="5">
        <f>K72</f>
        <v>5.0632911392405067</v>
      </c>
      <c r="Z72" s="5">
        <v>5.3</v>
      </c>
      <c r="AA72" s="5">
        <v>6.25</v>
      </c>
      <c r="AB72" s="5">
        <v>4.9000000000000004</v>
      </c>
      <c r="AC72" s="5">
        <v>4.57</v>
      </c>
      <c r="AD72" s="13"/>
      <c r="AE72" s="13"/>
      <c r="AF72" s="19"/>
      <c r="AG72" s="19"/>
      <c r="AH72" s="20"/>
    </row>
    <row r="73" spans="1:34" x14ac:dyDescent="0.4">
      <c r="A73" s="3"/>
      <c r="C73" s="2">
        <v>12</v>
      </c>
      <c r="D73" s="2"/>
      <c r="E73" s="5"/>
      <c r="F73" s="5"/>
      <c r="G73" s="29" t="s">
        <v>61</v>
      </c>
      <c r="H73" s="29" t="s">
        <v>61</v>
      </c>
      <c r="I73" s="5"/>
      <c r="J73" s="5"/>
      <c r="K73" s="29" t="s">
        <v>61</v>
      </c>
      <c r="L73" s="17"/>
      <c r="M73" s="6">
        <v>75</v>
      </c>
      <c r="N73" s="13"/>
      <c r="O73" s="13">
        <v>12</v>
      </c>
      <c r="P73" s="13"/>
      <c r="Q73" s="5"/>
      <c r="R73" s="5"/>
      <c r="S73" s="29" t="s">
        <v>61</v>
      </c>
      <c r="T73" s="29" t="s">
        <v>61</v>
      </c>
      <c r="U73" s="5"/>
      <c r="V73" s="5"/>
      <c r="W73" s="29" t="s">
        <v>61</v>
      </c>
      <c r="X73" s="19"/>
      <c r="Y73" s="17"/>
      <c r="Z73" s="5">
        <v>6.1</v>
      </c>
      <c r="AA73" s="5">
        <v>7.78</v>
      </c>
      <c r="AB73" s="5">
        <v>5.7</v>
      </c>
      <c r="AC73" s="5">
        <v>5.84</v>
      </c>
      <c r="AD73" s="13"/>
      <c r="AE73" s="13"/>
      <c r="AF73" s="19"/>
      <c r="AG73" s="19"/>
      <c r="AH73" s="20"/>
    </row>
    <row r="74" spans="1:34" x14ac:dyDescent="0.4">
      <c r="A74" s="8"/>
      <c r="B74" s="8"/>
      <c r="C74" s="9"/>
      <c r="D74" s="9"/>
      <c r="E74" s="18"/>
      <c r="F74" s="18"/>
      <c r="G74" s="38"/>
      <c r="H74" s="37"/>
      <c r="I74" s="22"/>
      <c r="J74" s="22"/>
      <c r="K74" s="37"/>
      <c r="L74" s="18"/>
      <c r="M74" s="14"/>
      <c r="N74" s="14"/>
      <c r="O74" s="14"/>
      <c r="P74" s="14"/>
      <c r="Q74" s="18"/>
      <c r="R74" s="22"/>
      <c r="S74" s="22"/>
      <c r="T74" s="22"/>
      <c r="U74" s="22"/>
      <c r="V74" s="22"/>
      <c r="W74" s="22"/>
      <c r="X74" s="14"/>
      <c r="Y74" s="22"/>
      <c r="Z74" s="22"/>
      <c r="AA74" s="22"/>
      <c r="AB74" s="22"/>
      <c r="AC74" s="22"/>
      <c r="AD74" s="14"/>
      <c r="AE74" s="14"/>
      <c r="AF74" s="14"/>
      <c r="AG74" s="14"/>
      <c r="AH74" s="14"/>
    </row>
    <row r="75" spans="1:34" x14ac:dyDescent="0.4">
      <c r="A75" s="3" t="s">
        <v>141</v>
      </c>
      <c r="B75" s="1" t="s">
        <v>133</v>
      </c>
      <c r="C75" s="4">
        <v>-28</v>
      </c>
      <c r="D75" s="2"/>
      <c r="E75" s="5"/>
      <c r="F75" s="5"/>
      <c r="G75" s="5"/>
      <c r="H75" s="5"/>
      <c r="I75" s="5"/>
      <c r="J75" s="5"/>
      <c r="K75" s="5"/>
      <c r="L75" s="17"/>
      <c r="M75" s="6">
        <v>55</v>
      </c>
      <c r="N75" s="13"/>
      <c r="O75" s="4">
        <v>-28</v>
      </c>
      <c r="P75" s="13"/>
      <c r="Q75" s="5"/>
      <c r="R75" s="5"/>
      <c r="S75" s="5"/>
      <c r="T75" s="5"/>
      <c r="U75" s="5"/>
      <c r="V75" s="5"/>
      <c r="W75" s="5"/>
      <c r="X75" s="4">
        <v>3</v>
      </c>
      <c r="Y75" s="17"/>
      <c r="Z75" s="5"/>
      <c r="AA75" s="5"/>
      <c r="AB75" s="5"/>
      <c r="AC75" s="5"/>
      <c r="AD75" s="13"/>
      <c r="AE75" s="13" t="s">
        <v>37</v>
      </c>
      <c r="AF75" s="7">
        <v>12</v>
      </c>
      <c r="AG75" s="7">
        <v>4.21</v>
      </c>
      <c r="AH75" s="7">
        <f>AF75/AG75</f>
        <v>2.8503562945368173</v>
      </c>
    </row>
    <row r="76" spans="1:34" x14ac:dyDescent="0.4">
      <c r="A76" s="3"/>
      <c r="C76" s="13">
        <v>-25</v>
      </c>
      <c r="D76" s="2"/>
      <c r="E76" s="5"/>
      <c r="F76" s="5"/>
      <c r="G76" s="5">
        <v>10.5</v>
      </c>
      <c r="H76" s="5">
        <v>5.55</v>
      </c>
      <c r="I76" s="5"/>
      <c r="J76" s="5"/>
      <c r="K76" s="5">
        <v>1.8918918918918919</v>
      </c>
      <c r="L76" s="17"/>
      <c r="M76" s="6">
        <v>55</v>
      </c>
      <c r="N76" s="13"/>
      <c r="O76" s="13">
        <v>-25</v>
      </c>
      <c r="P76" s="13"/>
      <c r="Q76" s="5"/>
      <c r="R76" s="5"/>
      <c r="S76" s="5">
        <v>9.6999999999999993</v>
      </c>
      <c r="T76" s="5">
        <v>7.4</v>
      </c>
      <c r="U76" s="5"/>
      <c r="V76" s="5"/>
      <c r="W76" s="5">
        <v>1.3108108108108107</v>
      </c>
      <c r="X76" s="19"/>
      <c r="Y76" s="17"/>
      <c r="Z76" s="5"/>
      <c r="AA76" s="5"/>
      <c r="AB76" s="5"/>
      <c r="AC76" s="5"/>
      <c r="AD76" s="13"/>
      <c r="AE76" s="13"/>
      <c r="AF76" s="7"/>
      <c r="AG76" s="7"/>
      <c r="AH76" s="7"/>
    </row>
    <row r="77" spans="1:34" x14ac:dyDescent="0.4">
      <c r="A77" s="46"/>
      <c r="C77" s="13">
        <v>-20</v>
      </c>
      <c r="D77" s="2"/>
      <c r="E77" s="5"/>
      <c r="F77" s="5"/>
      <c r="G77" s="5">
        <v>11.2</v>
      </c>
      <c r="H77" s="5">
        <v>4.75</v>
      </c>
      <c r="I77" s="5"/>
      <c r="J77" s="5"/>
      <c r="K77" s="5">
        <v>2.357894736842105</v>
      </c>
      <c r="L77" s="17"/>
      <c r="M77" s="6">
        <v>65</v>
      </c>
      <c r="N77" s="13"/>
      <c r="O77" s="13">
        <v>-20</v>
      </c>
      <c r="P77" s="13"/>
      <c r="Q77" s="5"/>
      <c r="R77" s="5"/>
      <c r="S77" s="5">
        <v>10.8</v>
      </c>
      <c r="T77" s="5">
        <v>6.45</v>
      </c>
      <c r="U77" s="5"/>
      <c r="V77" s="5"/>
      <c r="W77" s="5">
        <v>1.6744186046511629</v>
      </c>
      <c r="X77" s="19"/>
      <c r="Y77" s="17"/>
      <c r="Z77" s="5"/>
      <c r="AA77" s="5"/>
      <c r="AB77" s="5"/>
      <c r="AC77" s="5"/>
      <c r="AD77" s="13"/>
      <c r="AE77" s="13" t="s">
        <v>38</v>
      </c>
      <c r="AF77" s="7">
        <v>13.2</v>
      </c>
      <c r="AG77" s="7">
        <v>3.25</v>
      </c>
      <c r="AH77" s="7">
        <f>AF77/AG77</f>
        <v>4.0615384615384613</v>
      </c>
    </row>
    <row r="78" spans="1:34" x14ac:dyDescent="0.4">
      <c r="A78" s="3"/>
      <c r="C78" s="2">
        <v>-15</v>
      </c>
      <c r="D78" s="2"/>
      <c r="E78" s="5"/>
      <c r="F78" s="5"/>
      <c r="G78" s="5">
        <v>12</v>
      </c>
      <c r="H78" s="5">
        <v>4.5599999999999996</v>
      </c>
      <c r="I78" s="5"/>
      <c r="J78" s="5"/>
      <c r="K78" s="5">
        <v>2.6315789473684212</v>
      </c>
      <c r="L78" s="17"/>
      <c r="M78" s="6">
        <v>75</v>
      </c>
      <c r="N78" s="13"/>
      <c r="O78" s="13">
        <v>-15</v>
      </c>
      <c r="P78" s="13"/>
      <c r="Q78" s="5"/>
      <c r="R78" s="5"/>
      <c r="S78" s="5">
        <v>12</v>
      </c>
      <c r="T78" s="5">
        <v>6</v>
      </c>
      <c r="U78" s="5"/>
      <c r="V78" s="5"/>
      <c r="W78" s="5">
        <v>2</v>
      </c>
      <c r="X78" s="19"/>
      <c r="Y78" s="17"/>
      <c r="Z78" s="5"/>
      <c r="AA78" s="5"/>
      <c r="AB78" s="5"/>
      <c r="AC78" s="5"/>
      <c r="AD78" s="13"/>
      <c r="AE78" s="13" t="s">
        <v>40</v>
      </c>
      <c r="AF78" s="7">
        <v>12</v>
      </c>
      <c r="AG78" s="7">
        <v>2.8</v>
      </c>
      <c r="AH78" s="7">
        <f>AF78/AG78</f>
        <v>4.2857142857142856</v>
      </c>
    </row>
    <row r="79" spans="1:34" x14ac:dyDescent="0.4">
      <c r="A79" s="3"/>
      <c r="C79" s="2">
        <v>-10</v>
      </c>
      <c r="D79" s="2"/>
      <c r="E79" s="5"/>
      <c r="F79" s="5"/>
      <c r="G79" s="29" t="s">
        <v>61</v>
      </c>
      <c r="H79" s="29" t="s">
        <v>61</v>
      </c>
      <c r="I79" s="5"/>
      <c r="J79" s="5"/>
      <c r="K79" s="29" t="s">
        <v>61</v>
      </c>
      <c r="L79" s="17"/>
      <c r="M79" s="6">
        <v>75</v>
      </c>
      <c r="N79" s="13"/>
      <c r="O79" s="13">
        <v>-10</v>
      </c>
      <c r="P79" s="13"/>
      <c r="Q79" s="5"/>
      <c r="R79" s="5"/>
      <c r="S79" s="29" t="s">
        <v>61</v>
      </c>
      <c r="T79" s="29" t="s">
        <v>61</v>
      </c>
      <c r="U79" s="5"/>
      <c r="V79" s="5"/>
      <c r="W79" s="29" t="s">
        <v>61</v>
      </c>
      <c r="X79" s="19"/>
      <c r="Y79" s="17" t="s">
        <v>39</v>
      </c>
      <c r="Z79" s="5">
        <v>12</v>
      </c>
      <c r="AA79" s="5">
        <v>2.91</v>
      </c>
      <c r="AB79" s="5">
        <v>12</v>
      </c>
      <c r="AC79" s="5">
        <v>2.12</v>
      </c>
      <c r="AD79" s="13"/>
    </row>
    <row r="80" spans="1:34" x14ac:dyDescent="0.4">
      <c r="A80" s="3"/>
      <c r="C80" s="2">
        <v>-7</v>
      </c>
      <c r="D80" s="2"/>
      <c r="E80" s="5"/>
      <c r="F80" s="5"/>
      <c r="G80" s="5">
        <v>12</v>
      </c>
      <c r="H80" s="5">
        <v>4</v>
      </c>
      <c r="I80" s="5"/>
      <c r="J80" s="5"/>
      <c r="K80" s="5">
        <v>3</v>
      </c>
      <c r="L80" s="17"/>
      <c r="M80" s="6">
        <v>75</v>
      </c>
      <c r="N80" s="13"/>
      <c r="O80" s="13">
        <v>-7</v>
      </c>
      <c r="P80" s="13"/>
      <c r="Q80" s="5"/>
      <c r="R80" s="5"/>
      <c r="S80" s="5">
        <v>12</v>
      </c>
      <c r="T80" s="5">
        <v>5.53</v>
      </c>
      <c r="U80" s="5"/>
      <c r="V80" s="5"/>
      <c r="W80" s="5">
        <v>2.1699819168173597</v>
      </c>
      <c r="X80" s="19"/>
      <c r="Y80" s="5">
        <f>AA80*(1.029-(0.05*Z80/G82))</f>
        <v>2.7476849999999997</v>
      </c>
      <c r="Z80" s="5">
        <v>10.6</v>
      </c>
      <c r="AA80" s="5">
        <v>2.79</v>
      </c>
      <c r="AB80" s="5">
        <v>10.6</v>
      </c>
      <c r="AC80" s="5">
        <v>2.2200000000000002</v>
      </c>
      <c r="AD80" s="13"/>
      <c r="AE80" s="13"/>
      <c r="AF80" s="19"/>
      <c r="AG80" s="19"/>
      <c r="AH80" s="20"/>
    </row>
    <row r="81" spans="1:34" x14ac:dyDescent="0.4">
      <c r="A81" s="3"/>
      <c r="C81" s="2">
        <v>2</v>
      </c>
      <c r="D81" s="2"/>
      <c r="E81" s="5"/>
      <c r="F81" s="5"/>
      <c r="G81" s="5">
        <v>12</v>
      </c>
      <c r="H81" s="5">
        <v>3.39</v>
      </c>
      <c r="I81" s="5"/>
      <c r="J81" s="5"/>
      <c r="K81" s="5">
        <v>3.5398230088495577</v>
      </c>
      <c r="L81" s="17"/>
      <c r="M81" s="6">
        <v>75</v>
      </c>
      <c r="N81" s="13"/>
      <c r="O81" s="13">
        <v>2</v>
      </c>
      <c r="P81" s="13"/>
      <c r="Q81" s="5"/>
      <c r="R81" s="5"/>
      <c r="S81" s="5">
        <v>12</v>
      </c>
      <c r="T81" s="5">
        <v>4.95</v>
      </c>
      <c r="U81" s="5"/>
      <c r="V81" s="5"/>
      <c r="W81" s="5">
        <v>2.4242424242424243</v>
      </c>
      <c r="X81" s="19"/>
      <c r="Y81" s="5">
        <f>AA81*(0.906-(0.044*Z81/G82))</f>
        <v>4.1020750000000001</v>
      </c>
      <c r="Z81" s="5">
        <v>6.5</v>
      </c>
      <c r="AA81" s="5">
        <v>4.6500000000000004</v>
      </c>
      <c r="AB81" s="5">
        <v>6.5</v>
      </c>
      <c r="AC81" s="5">
        <v>3.65</v>
      </c>
      <c r="AD81" s="13"/>
      <c r="AE81" s="13"/>
      <c r="AF81" s="19"/>
      <c r="AG81" s="19"/>
      <c r="AH81" s="20"/>
    </row>
    <row r="82" spans="1:34" x14ac:dyDescent="0.4">
      <c r="A82" s="3"/>
      <c r="C82" s="2">
        <v>7</v>
      </c>
      <c r="D82" s="2"/>
      <c r="E82" s="5"/>
      <c r="F82" s="5"/>
      <c r="G82" s="5">
        <v>12</v>
      </c>
      <c r="H82" s="5">
        <v>2.37</v>
      </c>
      <c r="I82" s="5"/>
      <c r="J82" s="5"/>
      <c r="K82" s="5">
        <v>5.0632911392405067</v>
      </c>
      <c r="L82" s="17"/>
      <c r="M82" s="6">
        <v>75</v>
      </c>
      <c r="N82" s="13"/>
      <c r="O82" s="13">
        <v>7</v>
      </c>
      <c r="P82" s="13"/>
      <c r="Q82" s="5"/>
      <c r="R82" s="5"/>
      <c r="S82" s="5">
        <v>12</v>
      </c>
      <c r="T82" s="5">
        <v>3.71</v>
      </c>
      <c r="U82" s="5"/>
      <c r="V82" s="5"/>
      <c r="W82" s="5">
        <v>3.2345013477088949</v>
      </c>
      <c r="X82" s="19"/>
      <c r="Y82" s="5">
        <f>K82</f>
        <v>5.0632911392405067</v>
      </c>
      <c r="Z82" s="5">
        <v>5.3</v>
      </c>
      <c r="AA82" s="5">
        <v>6.25</v>
      </c>
      <c r="AB82" s="5">
        <v>4.9000000000000004</v>
      </c>
      <c r="AC82" s="5">
        <v>4.57</v>
      </c>
      <c r="AD82" s="13"/>
      <c r="AE82" s="13"/>
      <c r="AF82" s="19"/>
      <c r="AG82" s="19"/>
      <c r="AH82" s="20"/>
    </row>
    <row r="83" spans="1:34" x14ac:dyDescent="0.4">
      <c r="A83" s="3"/>
      <c r="C83" s="2">
        <v>12</v>
      </c>
      <c r="D83" s="2"/>
      <c r="E83" s="5"/>
      <c r="F83" s="5"/>
      <c r="G83" s="29" t="s">
        <v>61</v>
      </c>
      <c r="H83" s="29" t="s">
        <v>61</v>
      </c>
      <c r="I83" s="5"/>
      <c r="J83" s="5"/>
      <c r="K83" s="29" t="s">
        <v>61</v>
      </c>
      <c r="L83" s="17"/>
      <c r="M83" s="6">
        <v>75</v>
      </c>
      <c r="N83" s="13"/>
      <c r="O83" s="13">
        <v>12</v>
      </c>
      <c r="P83" s="13"/>
      <c r="Q83" s="5"/>
      <c r="R83" s="5"/>
      <c r="S83" s="29" t="s">
        <v>61</v>
      </c>
      <c r="T83" s="29" t="s">
        <v>61</v>
      </c>
      <c r="U83" s="5"/>
      <c r="V83" s="5"/>
      <c r="W83" s="29" t="s">
        <v>61</v>
      </c>
      <c r="X83" s="19"/>
      <c r="Y83" s="17"/>
      <c r="Z83" s="5">
        <v>6.1</v>
      </c>
      <c r="AA83" s="5">
        <v>7.78</v>
      </c>
      <c r="AB83" s="5">
        <v>5.7</v>
      </c>
      <c r="AC83" s="5">
        <v>5.84</v>
      </c>
      <c r="AD83" s="13"/>
      <c r="AE83" s="13"/>
      <c r="AF83" s="19"/>
      <c r="AG83" s="19"/>
      <c r="AH83" s="20"/>
    </row>
    <row r="84" spans="1:34" x14ac:dyDescent="0.4">
      <c r="A84" s="8"/>
      <c r="B84" s="8"/>
      <c r="C84" s="9"/>
      <c r="D84" s="9"/>
      <c r="E84" s="18"/>
      <c r="F84" s="18"/>
      <c r="G84" s="38"/>
      <c r="H84" s="37"/>
      <c r="I84" s="22"/>
      <c r="J84" s="22"/>
      <c r="K84" s="37"/>
      <c r="L84" s="18"/>
      <c r="M84" s="14"/>
      <c r="N84" s="14"/>
      <c r="O84" s="14"/>
      <c r="P84" s="14"/>
      <c r="Q84" s="18"/>
      <c r="R84" s="22"/>
      <c r="S84" s="22"/>
      <c r="T84" s="22"/>
      <c r="U84" s="22"/>
      <c r="V84" s="22"/>
      <c r="W84" s="22"/>
      <c r="X84" s="14"/>
      <c r="Y84" s="22"/>
      <c r="Z84" s="22"/>
      <c r="AA84" s="22"/>
      <c r="AB84" s="22"/>
      <c r="AC84" s="22"/>
      <c r="AD84" s="14"/>
      <c r="AE84" s="14"/>
      <c r="AF84" s="14"/>
      <c r="AG84" s="14"/>
      <c r="AH84" s="14"/>
    </row>
    <row r="85" spans="1:34" s="1" customFormat="1" x14ac:dyDescent="0.4">
      <c r="A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s="15"/>
      <c r="AG85" s="15"/>
      <c r="AH85" s="15"/>
    </row>
    <row r="86" spans="1:34" x14ac:dyDescent="0.4">
      <c r="A86" s="1" t="s">
        <v>143</v>
      </c>
      <c r="B86" s="53"/>
    </row>
    <row r="87" spans="1:34" x14ac:dyDescent="0.4">
      <c r="B87" s="53"/>
    </row>
    <row r="88" spans="1:34" x14ac:dyDescent="0.4">
      <c r="A88" s="3" t="s">
        <v>136</v>
      </c>
      <c r="B88" s="1" t="s">
        <v>132</v>
      </c>
    </row>
    <row r="89" spans="1:34" x14ac:dyDescent="0.4">
      <c r="A89" s="3" t="s">
        <v>137</v>
      </c>
      <c r="B89" s="1" t="s">
        <v>132</v>
      </c>
    </row>
    <row r="90" spans="1:34" x14ac:dyDescent="0.4">
      <c r="A90" s="3" t="s">
        <v>141</v>
      </c>
      <c r="B90" s="1" t="s">
        <v>132</v>
      </c>
    </row>
    <row r="91" spans="1:34" x14ac:dyDescent="0.4">
      <c r="B91" s="53"/>
    </row>
    <row r="92" spans="1:34" x14ac:dyDescent="0.4">
      <c r="A92" s="3" t="s">
        <v>136</v>
      </c>
      <c r="B92" s="1" t="s">
        <v>133</v>
      </c>
    </row>
    <row r="93" spans="1:34" x14ac:dyDescent="0.4">
      <c r="A93" s="3" t="s">
        <v>137</v>
      </c>
      <c r="B93" s="1" t="s">
        <v>133</v>
      </c>
    </row>
    <row r="94" spans="1:34" x14ac:dyDescent="0.4">
      <c r="A94" s="3" t="s">
        <v>141</v>
      </c>
      <c r="B94" s="1" t="s">
        <v>133</v>
      </c>
    </row>
    <row r="95" spans="1:34" x14ac:dyDescent="0.4">
      <c r="A95" s="33"/>
      <c r="B95" s="53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6C3E-17C3-4E0C-8FD9-5415A0A40CD4}">
  <sheetPr>
    <tabColor rgb="FFFFC000"/>
  </sheetPr>
  <dimension ref="A1:AH95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Y41" sqref="Y41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138</v>
      </c>
      <c r="B5" s="1" t="s">
        <v>132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3"/>
      <c r="O5" s="4">
        <v>-28</v>
      </c>
      <c r="P5" s="13"/>
      <c r="Q5" s="5"/>
      <c r="R5" s="5"/>
      <c r="S5" s="5"/>
      <c r="T5" s="5"/>
      <c r="U5" s="5"/>
      <c r="V5" s="5"/>
      <c r="W5" s="5"/>
      <c r="X5" s="4">
        <v>3</v>
      </c>
      <c r="Y5" s="17"/>
      <c r="Z5" s="5"/>
      <c r="AA5" s="5"/>
      <c r="AB5" s="5"/>
      <c r="AC5" s="5"/>
      <c r="AD5" s="13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1.9523809523809501</v>
      </c>
      <c r="L6" s="17"/>
      <c r="M6" s="6">
        <v>55</v>
      </c>
      <c r="N6" s="13"/>
      <c r="O6" s="13">
        <v>-25</v>
      </c>
      <c r="P6" s="13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3"/>
      <c r="O7" s="13">
        <v>-20</v>
      </c>
      <c r="P7" s="13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3"/>
      <c r="Y7" s="17"/>
      <c r="Z7" s="5"/>
      <c r="AA7" s="5"/>
      <c r="AB7" s="5"/>
      <c r="AC7" s="5"/>
      <c r="AD7" s="13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3"/>
      <c r="O8" s="13">
        <v>-15</v>
      </c>
      <c r="P8" s="13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3"/>
      <c r="Y8" s="17"/>
      <c r="Z8" s="5"/>
      <c r="AA8" s="5"/>
      <c r="AB8" s="5"/>
      <c r="AC8" s="5"/>
      <c r="AD8" s="13"/>
      <c r="AE8" s="13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3"/>
      <c r="O9" s="13">
        <v>-10</v>
      </c>
      <c r="P9" s="13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3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3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3"/>
      <c r="O10" s="13">
        <v>-7</v>
      </c>
      <c r="P10" s="13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3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3"/>
      <c r="AE10" s="13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3"/>
      <c r="O11" s="13">
        <v>2</v>
      </c>
      <c r="P11" s="13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3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3"/>
      <c r="AE11" s="13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3"/>
      <c r="O12" s="13">
        <v>7</v>
      </c>
      <c r="P12" s="13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3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3"/>
      <c r="AE12" s="13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3"/>
      <c r="O13" s="13">
        <v>12</v>
      </c>
      <c r="P13" s="13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3"/>
      <c r="Y13" s="17"/>
      <c r="Z13" s="5">
        <v>5.7</v>
      </c>
      <c r="AA13" s="5">
        <v>7.8</v>
      </c>
      <c r="AB13" s="5">
        <v>5.6</v>
      </c>
      <c r="AC13" s="5">
        <v>5.78</v>
      </c>
      <c r="AD13" s="13"/>
      <c r="AE13" s="13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18"/>
      <c r="H14" s="18"/>
      <c r="I14" s="18"/>
      <c r="J14" s="18"/>
      <c r="K14" s="18"/>
      <c r="L14" s="18"/>
      <c r="M14" s="18"/>
      <c r="N14" s="14"/>
      <c r="O14" s="14"/>
      <c r="P14" s="14"/>
      <c r="Q14" s="18"/>
      <c r="R14" s="18"/>
      <c r="S14" s="18"/>
      <c r="T14" s="18"/>
      <c r="U14" s="18"/>
      <c r="V14" s="18"/>
      <c r="W14" s="18"/>
      <c r="X14" s="18"/>
      <c r="Y14" s="22"/>
      <c r="Z14" s="22"/>
      <c r="AA14" s="22"/>
      <c r="AB14" s="22"/>
      <c r="AC14" s="22"/>
      <c r="AD14" s="14"/>
      <c r="AE14" s="14"/>
      <c r="AF14" s="18"/>
      <c r="AG14" s="18"/>
      <c r="AH14" s="18"/>
    </row>
    <row r="15" spans="1:34" x14ac:dyDescent="0.4">
      <c r="A15" s="3" t="s">
        <v>145</v>
      </c>
      <c r="B15" s="1" t="s">
        <v>132</v>
      </c>
      <c r="C15" s="4">
        <v>-28</v>
      </c>
      <c r="D15" s="2"/>
      <c r="E15" s="35"/>
      <c r="F15" s="5"/>
      <c r="G15" s="5"/>
      <c r="H15" s="5"/>
      <c r="I15" s="5"/>
      <c r="J15" s="5"/>
      <c r="K15" s="5"/>
      <c r="L15" s="17"/>
      <c r="M15" s="6">
        <v>55</v>
      </c>
      <c r="N15" s="13"/>
      <c r="O15" s="4">
        <v>-28</v>
      </c>
      <c r="P15" s="13"/>
      <c r="Q15" s="5"/>
      <c r="R15" s="5"/>
      <c r="S15" s="5"/>
      <c r="T15" s="5"/>
      <c r="U15" s="5"/>
      <c r="V15" s="5"/>
      <c r="W15" s="5"/>
      <c r="X15" s="4">
        <v>6</v>
      </c>
      <c r="Y15" s="17"/>
      <c r="Z15" s="5"/>
      <c r="AA15" s="5"/>
      <c r="AB15" s="5"/>
      <c r="AC15" s="5"/>
      <c r="AD15" s="13"/>
      <c r="AE15" s="13" t="s">
        <v>37</v>
      </c>
      <c r="AF15" s="7">
        <v>9</v>
      </c>
      <c r="AG15" s="7">
        <v>2.4900000000000002</v>
      </c>
      <c r="AH15" s="7">
        <f>AF15/AG15</f>
        <v>3.6144578313253009</v>
      </c>
    </row>
    <row r="16" spans="1:34" x14ac:dyDescent="0.4">
      <c r="A16" s="3"/>
      <c r="C16" s="13">
        <v>-25</v>
      </c>
      <c r="D16" s="2"/>
      <c r="E16" s="35"/>
      <c r="F16" s="5"/>
      <c r="G16" s="5">
        <v>8.1999999999999993</v>
      </c>
      <c r="H16" s="5">
        <v>4.2</v>
      </c>
      <c r="I16" s="5"/>
      <c r="J16" s="5"/>
      <c r="K16" s="5">
        <v>1.9523809523809523</v>
      </c>
      <c r="L16" s="17"/>
      <c r="M16" s="6">
        <v>55</v>
      </c>
      <c r="N16" s="13"/>
      <c r="O16" s="13">
        <v>-25</v>
      </c>
      <c r="P16" s="13"/>
      <c r="Q16" s="5"/>
      <c r="R16" s="5"/>
      <c r="S16" s="5">
        <v>7.6</v>
      </c>
      <c r="T16" s="5">
        <v>5.7</v>
      </c>
      <c r="U16" s="5"/>
      <c r="V16" s="5"/>
      <c r="W16" s="5">
        <v>1.3333333333333333</v>
      </c>
      <c r="X16" s="19"/>
      <c r="Y16" s="17"/>
      <c r="Z16" s="5"/>
      <c r="AA16" s="5"/>
      <c r="AB16" s="5"/>
      <c r="AC16" s="5"/>
      <c r="AD16" s="13"/>
      <c r="AE16" s="13"/>
      <c r="AF16" s="7"/>
      <c r="AG16" s="7"/>
      <c r="AH16" s="7"/>
    </row>
    <row r="17" spans="1:34" x14ac:dyDescent="0.4">
      <c r="A17" s="46"/>
      <c r="C17" s="13">
        <v>-20</v>
      </c>
      <c r="D17" s="2"/>
      <c r="E17" s="35"/>
      <c r="F17" s="5"/>
      <c r="G17" s="5">
        <v>8.1999999999999993</v>
      </c>
      <c r="H17" s="5">
        <v>3.34</v>
      </c>
      <c r="I17" s="5"/>
      <c r="J17" s="5"/>
      <c r="K17" s="5">
        <v>2.4550898203592815</v>
      </c>
      <c r="L17" s="17"/>
      <c r="M17" s="6">
        <v>65</v>
      </c>
      <c r="N17" s="13"/>
      <c r="O17" s="13">
        <v>-20</v>
      </c>
      <c r="P17" s="13"/>
      <c r="Q17" s="5"/>
      <c r="R17" s="5"/>
      <c r="S17" s="5">
        <v>7.6</v>
      </c>
      <c r="T17" s="5">
        <v>4.76</v>
      </c>
      <c r="U17" s="5"/>
      <c r="V17" s="5"/>
      <c r="W17" s="5">
        <v>1.596638655462185</v>
      </c>
      <c r="X17" s="13"/>
      <c r="Y17" s="17"/>
      <c r="Z17" s="5"/>
      <c r="AA17" s="5"/>
      <c r="AB17" s="5"/>
      <c r="AC17" s="5"/>
      <c r="AD17" s="13"/>
      <c r="AE17" s="13" t="s">
        <v>38</v>
      </c>
      <c r="AF17" s="7">
        <v>9.8000000000000007</v>
      </c>
      <c r="AG17" s="7">
        <v>2.63</v>
      </c>
      <c r="AH17" s="7">
        <f>AF17/AG17</f>
        <v>3.7262357414448672</v>
      </c>
    </row>
    <row r="18" spans="1:34" x14ac:dyDescent="0.4">
      <c r="A18" s="3"/>
      <c r="C18" s="2">
        <v>-15</v>
      </c>
      <c r="D18" s="2"/>
      <c r="E18" s="35"/>
      <c r="F18" s="5"/>
      <c r="G18" s="5">
        <v>9</v>
      </c>
      <c r="H18" s="5">
        <v>3.3</v>
      </c>
      <c r="I18" s="5"/>
      <c r="J18" s="5"/>
      <c r="K18" s="5">
        <v>2.7272727272727271</v>
      </c>
      <c r="L18" s="17"/>
      <c r="M18" s="6">
        <v>75</v>
      </c>
      <c r="N18" s="13"/>
      <c r="O18" s="13">
        <v>-15</v>
      </c>
      <c r="P18" s="13"/>
      <c r="Q18" s="5"/>
      <c r="R18" s="5"/>
      <c r="S18" s="5">
        <v>9</v>
      </c>
      <c r="T18" s="5">
        <v>4.4800000000000004</v>
      </c>
      <c r="U18" s="5"/>
      <c r="V18" s="5"/>
      <c r="W18" s="5">
        <v>2.0089285714285716</v>
      </c>
      <c r="X18" s="13"/>
      <c r="Y18" s="17"/>
      <c r="Z18" s="5"/>
      <c r="AA18" s="5"/>
      <c r="AB18" s="5"/>
      <c r="AC18" s="5"/>
      <c r="AD18" s="13"/>
      <c r="AE18" s="13" t="s">
        <v>40</v>
      </c>
      <c r="AF18" s="7">
        <v>9</v>
      </c>
      <c r="AG18" s="7">
        <v>1.71</v>
      </c>
      <c r="AH18" s="7">
        <f>AF18/AG18</f>
        <v>5.2631578947368425</v>
      </c>
    </row>
    <row r="19" spans="1:34" x14ac:dyDescent="0.4">
      <c r="A19" s="3"/>
      <c r="C19" s="2">
        <v>-10</v>
      </c>
      <c r="D19" s="2"/>
      <c r="E19" s="3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3"/>
      <c r="O19" s="13">
        <v>-10</v>
      </c>
      <c r="P19" s="13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3"/>
      <c r="Y19" s="17" t="s">
        <v>39</v>
      </c>
      <c r="Z19" s="5">
        <v>9</v>
      </c>
      <c r="AA19" s="5">
        <v>3.19</v>
      </c>
      <c r="AB19" s="5">
        <v>9</v>
      </c>
      <c r="AC19" s="5">
        <v>2.17</v>
      </c>
      <c r="AD19" s="13"/>
    </row>
    <row r="20" spans="1:34" x14ac:dyDescent="0.4">
      <c r="A20" s="3"/>
      <c r="C20" s="2">
        <v>-7</v>
      </c>
      <c r="D20" s="2"/>
      <c r="E20" s="35"/>
      <c r="F20" s="5"/>
      <c r="G20" s="5">
        <v>9</v>
      </c>
      <c r="H20" s="5">
        <v>2.61</v>
      </c>
      <c r="I20" s="5"/>
      <c r="J20" s="5"/>
      <c r="K20" s="5">
        <v>3.4482758620689653</v>
      </c>
      <c r="L20" s="17"/>
      <c r="M20" s="6">
        <v>75</v>
      </c>
      <c r="N20" s="13"/>
      <c r="O20" s="13">
        <v>-7</v>
      </c>
      <c r="P20" s="13"/>
      <c r="Q20" s="5"/>
      <c r="R20" s="5"/>
      <c r="S20" s="5">
        <v>9</v>
      </c>
      <c r="T20" s="5">
        <v>3.83</v>
      </c>
      <c r="U20" s="5"/>
      <c r="V20" s="5"/>
      <c r="W20" s="5">
        <v>2.3498694516971281</v>
      </c>
      <c r="X20" s="13"/>
      <c r="Y20" s="5">
        <f>AA20*(1.029-(0.05*Z20/G22))</f>
        <v>3.4656355555555556</v>
      </c>
      <c r="Z20" s="5">
        <v>8</v>
      </c>
      <c r="AA20" s="5">
        <v>3.52</v>
      </c>
      <c r="AB20" s="5">
        <v>8</v>
      </c>
      <c r="AC20" s="5">
        <v>2.4900000000000002</v>
      </c>
      <c r="AD20" s="13"/>
      <c r="AE20" s="13"/>
      <c r="AF20" s="19"/>
      <c r="AG20" s="19"/>
      <c r="AH20" s="20"/>
    </row>
    <row r="21" spans="1:34" x14ac:dyDescent="0.4">
      <c r="A21" s="3"/>
      <c r="C21" s="2">
        <v>2</v>
      </c>
      <c r="D21" s="2"/>
      <c r="E21" s="35"/>
      <c r="F21" s="5"/>
      <c r="G21" s="5">
        <v>9</v>
      </c>
      <c r="H21" s="5">
        <v>2.36</v>
      </c>
      <c r="I21" s="5"/>
      <c r="J21" s="5"/>
      <c r="K21" s="5">
        <v>3.8135593220338984</v>
      </c>
      <c r="L21" s="17"/>
      <c r="M21" s="6">
        <v>75</v>
      </c>
      <c r="N21" s="13"/>
      <c r="O21" s="13">
        <v>2</v>
      </c>
      <c r="P21" s="13"/>
      <c r="Q21" s="5"/>
      <c r="R21" s="5"/>
      <c r="S21" s="5">
        <v>9</v>
      </c>
      <c r="T21" s="5">
        <v>3.54</v>
      </c>
      <c r="U21" s="5"/>
      <c r="V21" s="5"/>
      <c r="W21" s="5">
        <v>2.5423728813559321</v>
      </c>
      <c r="X21" s="13"/>
      <c r="Y21" s="5">
        <f>AA21*(0.906-(0.044*Z21/G22))</f>
        <v>4.2690951111111115</v>
      </c>
      <c r="Z21" s="5">
        <v>4.9000000000000004</v>
      </c>
      <c r="AA21" s="5">
        <v>4.84</v>
      </c>
      <c r="AB21" s="5">
        <v>4.9000000000000004</v>
      </c>
      <c r="AC21" s="5">
        <v>3.29</v>
      </c>
      <c r="AD21" s="13"/>
      <c r="AE21" s="13"/>
      <c r="AF21" s="19"/>
      <c r="AG21" s="19"/>
      <c r="AH21" s="20"/>
    </row>
    <row r="22" spans="1:34" x14ac:dyDescent="0.4">
      <c r="A22" s="3"/>
      <c r="C22" s="2">
        <v>7</v>
      </c>
      <c r="D22" s="2"/>
      <c r="E22" s="35"/>
      <c r="F22" s="5"/>
      <c r="G22" s="5">
        <v>9</v>
      </c>
      <c r="H22" s="5">
        <v>1.72</v>
      </c>
      <c r="I22" s="5"/>
      <c r="J22" s="5"/>
      <c r="K22" s="5">
        <v>5.2325581395348841</v>
      </c>
      <c r="L22" s="17"/>
      <c r="M22" s="6">
        <v>75</v>
      </c>
      <c r="N22" s="13"/>
      <c r="O22" s="13">
        <v>7</v>
      </c>
      <c r="P22" s="13"/>
      <c r="Q22" s="5"/>
      <c r="R22" s="5"/>
      <c r="S22" s="5">
        <v>9</v>
      </c>
      <c r="T22" s="5">
        <v>2.78</v>
      </c>
      <c r="U22" s="5"/>
      <c r="V22" s="5"/>
      <c r="W22" s="5">
        <v>3.2374100719424459</v>
      </c>
      <c r="X22" s="13"/>
      <c r="Y22" s="5">
        <f>K22</f>
        <v>5.2325581395348841</v>
      </c>
      <c r="Z22" s="5">
        <v>4.8</v>
      </c>
      <c r="AA22" s="5">
        <v>6.15</v>
      </c>
      <c r="AB22" s="5">
        <v>4.7</v>
      </c>
      <c r="AC22" s="5">
        <v>4.42</v>
      </c>
      <c r="AD22" s="13"/>
      <c r="AE22" s="13"/>
      <c r="AF22" s="19"/>
      <c r="AG22" s="19"/>
      <c r="AH22" s="20"/>
    </row>
    <row r="23" spans="1:34" x14ac:dyDescent="0.4">
      <c r="A23" s="3"/>
      <c r="C23" s="2">
        <v>12</v>
      </c>
      <c r="D23" s="2"/>
      <c r="E23" s="3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3"/>
      <c r="O23" s="13">
        <v>12</v>
      </c>
      <c r="P23" s="13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3"/>
      <c r="Y23" s="17"/>
      <c r="Z23" s="5">
        <v>5.7</v>
      </c>
      <c r="AA23" s="5">
        <v>7.8</v>
      </c>
      <c r="AB23" s="5">
        <v>5.6</v>
      </c>
      <c r="AC23" s="5">
        <v>5.78</v>
      </c>
      <c r="AD23" s="13"/>
      <c r="AE23" s="13"/>
      <c r="AF23" s="19"/>
      <c r="AG23" s="19"/>
      <c r="AH23" s="20"/>
    </row>
    <row r="24" spans="1:34" x14ac:dyDescent="0.4">
      <c r="A24" s="8"/>
      <c r="B24" s="8"/>
      <c r="C24" s="9"/>
      <c r="D24" s="9"/>
      <c r="E24" s="18"/>
      <c r="F24" s="18"/>
      <c r="G24" s="22"/>
      <c r="H24" s="22"/>
      <c r="I24" s="22"/>
      <c r="J24" s="22"/>
      <c r="K24" s="22"/>
      <c r="L24" s="18"/>
      <c r="M24" s="18"/>
      <c r="N24" s="14"/>
      <c r="O24" s="14"/>
      <c r="P24" s="14"/>
      <c r="Q24" s="18"/>
      <c r="R24" s="22"/>
      <c r="S24" s="22"/>
      <c r="T24" s="22"/>
      <c r="U24" s="22"/>
      <c r="V24" s="22"/>
      <c r="W24" s="22"/>
      <c r="X24" s="14"/>
      <c r="Y24" s="22"/>
      <c r="Z24" s="22"/>
      <c r="AA24" s="22"/>
      <c r="AB24" s="22"/>
      <c r="AC24" s="22"/>
      <c r="AD24" s="14"/>
      <c r="AE24" s="14"/>
      <c r="AF24" s="18"/>
      <c r="AG24" s="18"/>
      <c r="AH24" s="18"/>
    </row>
    <row r="25" spans="1:34" ht="14.4" customHeight="1" x14ac:dyDescent="0.4">
      <c r="A25" s="3" t="s">
        <v>139</v>
      </c>
      <c r="B25" s="1" t="s">
        <v>132</v>
      </c>
      <c r="C25" s="4">
        <v>-28</v>
      </c>
      <c r="D25" s="2"/>
      <c r="E25" s="35"/>
      <c r="F25" s="5"/>
      <c r="G25" s="5"/>
      <c r="H25" s="5"/>
      <c r="I25" s="5"/>
      <c r="J25" s="5"/>
      <c r="K25" s="5"/>
      <c r="L25" s="17"/>
      <c r="M25" s="6">
        <v>55</v>
      </c>
      <c r="N25" s="13"/>
      <c r="O25" s="4">
        <v>-28</v>
      </c>
      <c r="P25" s="13"/>
      <c r="Q25" s="5"/>
      <c r="R25" s="5"/>
      <c r="S25" s="5"/>
      <c r="T25" s="5"/>
      <c r="U25" s="5"/>
      <c r="V25" s="5"/>
      <c r="W25" s="5"/>
      <c r="X25" s="4">
        <v>3</v>
      </c>
      <c r="Y25" s="17"/>
      <c r="Z25" s="5"/>
      <c r="AA25" s="5"/>
      <c r="AB25" s="5"/>
      <c r="AC25" s="5"/>
      <c r="AD25" s="13"/>
      <c r="AE25" s="13" t="s">
        <v>37</v>
      </c>
      <c r="AF25" s="7">
        <v>9</v>
      </c>
      <c r="AG25" s="7">
        <v>2.4900000000000002</v>
      </c>
      <c r="AH25" s="7">
        <f>AF25/AG25</f>
        <v>3.6144578313253009</v>
      </c>
    </row>
    <row r="26" spans="1:34" ht="14.4" customHeight="1" x14ac:dyDescent="0.4">
      <c r="A26" s="3"/>
      <c r="C26" s="13">
        <v>-25</v>
      </c>
      <c r="D26" s="2"/>
      <c r="E26" s="35"/>
      <c r="F26" s="5"/>
      <c r="G26" s="5">
        <v>8.1999999999999993</v>
      </c>
      <c r="H26" s="5">
        <v>4.2</v>
      </c>
      <c r="I26" s="5"/>
      <c r="J26" s="5"/>
      <c r="K26" s="5">
        <v>1.9523809523809523</v>
      </c>
      <c r="L26" s="17"/>
      <c r="M26" s="6">
        <v>55</v>
      </c>
      <c r="N26" s="13"/>
      <c r="O26" s="13">
        <v>-25</v>
      </c>
      <c r="P26" s="13"/>
      <c r="Q26" s="5"/>
      <c r="R26" s="5"/>
      <c r="S26" s="5">
        <v>7.6</v>
      </c>
      <c r="T26" s="5">
        <v>5.7</v>
      </c>
      <c r="U26" s="5"/>
      <c r="V26" s="5"/>
      <c r="W26" s="5">
        <v>1.3333333333333333</v>
      </c>
      <c r="X26" s="19"/>
      <c r="Y26" s="17"/>
      <c r="Z26" s="5"/>
      <c r="AA26" s="5"/>
      <c r="AB26" s="5"/>
      <c r="AC26" s="5"/>
      <c r="AD26" s="13"/>
      <c r="AE26" s="13"/>
      <c r="AF26" s="7"/>
      <c r="AG26" s="7"/>
      <c r="AH26" s="7"/>
    </row>
    <row r="27" spans="1:34" x14ac:dyDescent="0.4">
      <c r="A27" s="46"/>
      <c r="C27" s="13">
        <v>-20</v>
      </c>
      <c r="D27" s="2"/>
      <c r="E27" s="35"/>
      <c r="F27" s="5"/>
      <c r="G27" s="5">
        <v>8.1999999999999993</v>
      </c>
      <c r="H27" s="5">
        <v>3.34</v>
      </c>
      <c r="I27" s="5"/>
      <c r="J27" s="5"/>
      <c r="K27" s="5">
        <v>2.4550898203592815</v>
      </c>
      <c r="L27" s="17"/>
      <c r="M27" s="6">
        <v>65</v>
      </c>
      <c r="N27" s="13"/>
      <c r="O27" s="13">
        <v>-20</v>
      </c>
      <c r="P27" s="13"/>
      <c r="Q27" s="5"/>
      <c r="R27" s="5"/>
      <c r="S27" s="5">
        <v>7.6</v>
      </c>
      <c r="T27" s="5">
        <v>4.76</v>
      </c>
      <c r="U27" s="5"/>
      <c r="V27" s="5"/>
      <c r="W27" s="5">
        <v>1.596638655462185</v>
      </c>
      <c r="X27" s="13"/>
      <c r="Y27" s="17"/>
      <c r="Z27" s="5"/>
      <c r="AA27" s="5"/>
      <c r="AB27" s="5"/>
      <c r="AC27" s="5"/>
      <c r="AD27" s="13"/>
      <c r="AE27" s="13" t="s">
        <v>38</v>
      </c>
      <c r="AF27" s="7">
        <v>9.8000000000000007</v>
      </c>
      <c r="AG27" s="7">
        <v>2.63</v>
      </c>
      <c r="AH27" s="7">
        <f>AF27/AG27</f>
        <v>3.7262357414448672</v>
      </c>
    </row>
    <row r="28" spans="1:34" x14ac:dyDescent="0.4">
      <c r="A28" s="3"/>
      <c r="C28" s="2">
        <v>-15</v>
      </c>
      <c r="D28" s="2"/>
      <c r="E28" s="35"/>
      <c r="F28" s="5"/>
      <c r="G28" s="5">
        <v>9</v>
      </c>
      <c r="H28" s="5">
        <v>3.3</v>
      </c>
      <c r="I28" s="5"/>
      <c r="J28" s="5"/>
      <c r="K28" s="5">
        <v>2.7272727272727271</v>
      </c>
      <c r="L28" s="17"/>
      <c r="M28" s="6">
        <v>75</v>
      </c>
      <c r="N28" s="13"/>
      <c r="O28" s="13">
        <v>-15</v>
      </c>
      <c r="P28" s="13"/>
      <c r="Q28" s="5"/>
      <c r="R28" s="5"/>
      <c r="S28" s="5">
        <v>9</v>
      </c>
      <c r="T28" s="5">
        <v>4.4800000000000004</v>
      </c>
      <c r="U28" s="5"/>
      <c r="V28" s="5"/>
      <c r="W28" s="5">
        <v>2.0089285714285716</v>
      </c>
      <c r="X28" s="13"/>
      <c r="Y28" s="17"/>
      <c r="Z28" s="5"/>
      <c r="AA28" s="5"/>
      <c r="AB28" s="5"/>
      <c r="AC28" s="5"/>
      <c r="AD28" s="13"/>
      <c r="AE28" s="13" t="s">
        <v>40</v>
      </c>
      <c r="AF28" s="7">
        <v>9</v>
      </c>
      <c r="AG28" s="7">
        <v>1.71</v>
      </c>
      <c r="AH28" s="7">
        <f>AF28/AG28</f>
        <v>5.2631578947368425</v>
      </c>
    </row>
    <row r="29" spans="1:34" x14ac:dyDescent="0.4">
      <c r="A29" s="3"/>
      <c r="C29" s="2">
        <v>-10</v>
      </c>
      <c r="D29" s="2"/>
      <c r="E29" s="3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3"/>
      <c r="O29" s="13">
        <v>-10</v>
      </c>
      <c r="P29" s="13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3"/>
      <c r="Y29" s="17" t="s">
        <v>39</v>
      </c>
      <c r="Z29" s="5">
        <v>9</v>
      </c>
      <c r="AA29" s="5">
        <v>3.19</v>
      </c>
      <c r="AB29" s="5">
        <v>9</v>
      </c>
      <c r="AC29" s="5">
        <v>2.17</v>
      </c>
      <c r="AD29" s="13"/>
    </row>
    <row r="30" spans="1:34" x14ac:dyDescent="0.4">
      <c r="A30" s="3"/>
      <c r="C30" s="2">
        <v>-7</v>
      </c>
      <c r="D30" s="2"/>
      <c r="E30" s="35"/>
      <c r="F30" s="5"/>
      <c r="G30" s="5">
        <v>9</v>
      </c>
      <c r="H30" s="5">
        <v>2.61</v>
      </c>
      <c r="I30" s="5"/>
      <c r="J30" s="5"/>
      <c r="K30" s="5">
        <v>3.4482758620689653</v>
      </c>
      <c r="L30" s="17"/>
      <c r="M30" s="6">
        <v>75</v>
      </c>
      <c r="N30" s="13"/>
      <c r="O30" s="13">
        <v>-7</v>
      </c>
      <c r="P30" s="13"/>
      <c r="Q30" s="5"/>
      <c r="R30" s="5"/>
      <c r="S30" s="5">
        <v>9</v>
      </c>
      <c r="T30" s="5">
        <v>3.83</v>
      </c>
      <c r="U30" s="5"/>
      <c r="V30" s="5"/>
      <c r="W30" s="5">
        <v>2.3498694516971281</v>
      </c>
      <c r="X30" s="13"/>
      <c r="Y30" s="5">
        <f>AA30*(1.029-(0.05*Z30/G32))</f>
        <v>3.4656355555555556</v>
      </c>
      <c r="Z30" s="5">
        <v>8</v>
      </c>
      <c r="AA30" s="5">
        <v>3.52</v>
      </c>
      <c r="AB30" s="5">
        <v>8</v>
      </c>
      <c r="AC30" s="5">
        <v>2.4900000000000002</v>
      </c>
      <c r="AD30" s="13"/>
      <c r="AE30" s="13"/>
      <c r="AF30" s="19"/>
      <c r="AG30" s="19"/>
      <c r="AH30" s="20"/>
    </row>
    <row r="31" spans="1:34" x14ac:dyDescent="0.4">
      <c r="A31" s="3"/>
      <c r="C31" s="2">
        <v>2</v>
      </c>
      <c r="D31" s="2"/>
      <c r="E31" s="35"/>
      <c r="F31" s="5"/>
      <c r="G31" s="5">
        <v>9</v>
      </c>
      <c r="H31" s="5">
        <v>2.36</v>
      </c>
      <c r="I31" s="5"/>
      <c r="J31" s="5"/>
      <c r="K31" s="5">
        <v>3.8135593220338984</v>
      </c>
      <c r="L31" s="17"/>
      <c r="M31" s="6">
        <v>75</v>
      </c>
      <c r="N31" s="13"/>
      <c r="O31" s="13">
        <v>2</v>
      </c>
      <c r="P31" s="13"/>
      <c r="Q31" s="5"/>
      <c r="R31" s="5"/>
      <c r="S31" s="5">
        <v>9</v>
      </c>
      <c r="T31" s="5">
        <v>3.54</v>
      </c>
      <c r="U31" s="5"/>
      <c r="V31" s="5"/>
      <c r="W31" s="5">
        <v>2.5423728813559321</v>
      </c>
      <c r="X31" s="13"/>
      <c r="Y31" s="5">
        <f>AA31*(0.906-(0.044*Z31/G32))</f>
        <v>4.2690951111111115</v>
      </c>
      <c r="Z31" s="5">
        <v>4.9000000000000004</v>
      </c>
      <c r="AA31" s="5">
        <v>4.84</v>
      </c>
      <c r="AB31" s="5">
        <v>4.9000000000000004</v>
      </c>
      <c r="AC31" s="5">
        <v>3.29</v>
      </c>
      <c r="AD31" s="13"/>
      <c r="AE31" s="13"/>
      <c r="AF31" s="19"/>
      <c r="AG31" s="19"/>
      <c r="AH31" s="20"/>
    </row>
    <row r="32" spans="1:34" x14ac:dyDescent="0.4">
      <c r="A32" s="3"/>
      <c r="C32" s="2">
        <v>7</v>
      </c>
      <c r="D32" s="2"/>
      <c r="E32" s="35"/>
      <c r="F32" s="5"/>
      <c r="G32" s="5">
        <v>9</v>
      </c>
      <c r="H32" s="5">
        <v>1.72</v>
      </c>
      <c r="I32" s="5"/>
      <c r="J32" s="5"/>
      <c r="K32" s="5">
        <v>5.2325581395348841</v>
      </c>
      <c r="L32" s="17"/>
      <c r="M32" s="6">
        <v>75</v>
      </c>
      <c r="N32" s="13"/>
      <c r="O32" s="13">
        <v>7</v>
      </c>
      <c r="P32" s="13"/>
      <c r="Q32" s="5"/>
      <c r="R32" s="5"/>
      <c r="S32" s="5">
        <v>9</v>
      </c>
      <c r="T32" s="5">
        <v>2.78</v>
      </c>
      <c r="U32" s="5"/>
      <c r="V32" s="5"/>
      <c r="W32" s="5">
        <v>3.2374100719424459</v>
      </c>
      <c r="X32" s="13"/>
      <c r="Y32" s="5">
        <f>K32</f>
        <v>5.2325581395348841</v>
      </c>
      <c r="Z32" s="5">
        <v>4.8</v>
      </c>
      <c r="AA32" s="5">
        <v>6.15</v>
      </c>
      <c r="AB32" s="5">
        <v>4.7</v>
      </c>
      <c r="AC32" s="5">
        <v>4.42</v>
      </c>
      <c r="AD32" s="13"/>
      <c r="AE32" s="13"/>
      <c r="AF32" s="19"/>
      <c r="AG32" s="19"/>
      <c r="AH32" s="20"/>
    </row>
    <row r="33" spans="1:34" x14ac:dyDescent="0.4">
      <c r="A33" s="3"/>
      <c r="C33" s="2">
        <v>12</v>
      </c>
      <c r="D33" s="2"/>
      <c r="E33" s="3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3"/>
      <c r="O33" s="13">
        <v>12</v>
      </c>
      <c r="P33" s="13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3"/>
      <c r="Y33" s="17"/>
      <c r="Z33" s="5">
        <v>5.7</v>
      </c>
      <c r="AA33" s="5">
        <v>7.8</v>
      </c>
      <c r="AB33" s="5">
        <v>5.6</v>
      </c>
      <c r="AC33" s="5">
        <v>5.78</v>
      </c>
      <c r="AD33" s="13"/>
      <c r="AE33" s="13"/>
      <c r="AF33" s="19"/>
      <c r="AG33" s="19"/>
      <c r="AH33" s="20"/>
    </row>
    <row r="34" spans="1:34" x14ac:dyDescent="0.4">
      <c r="A34" s="8"/>
      <c r="B34" s="8"/>
      <c r="C34" s="9"/>
      <c r="D34" s="9"/>
      <c r="E34" s="18"/>
      <c r="F34" s="18"/>
      <c r="G34" s="38"/>
      <c r="H34" s="37"/>
      <c r="I34" s="22"/>
      <c r="J34" s="22"/>
      <c r="K34" s="37"/>
      <c r="L34" s="18"/>
      <c r="M34" s="14"/>
      <c r="N34" s="14"/>
      <c r="O34" s="14"/>
      <c r="P34" s="14"/>
      <c r="Q34" s="18"/>
      <c r="R34" s="22"/>
      <c r="S34" s="22"/>
      <c r="T34" s="22"/>
      <c r="U34" s="22"/>
      <c r="V34" s="22"/>
      <c r="W34" s="22"/>
      <c r="X34" s="14"/>
      <c r="Y34" s="31"/>
      <c r="Z34" s="31"/>
      <c r="AA34" s="31"/>
      <c r="AB34" s="31"/>
      <c r="AC34" s="31"/>
      <c r="AD34" s="14"/>
      <c r="AE34" s="14"/>
      <c r="AF34" s="14"/>
      <c r="AG34" s="14"/>
      <c r="AH34" s="14"/>
    </row>
    <row r="35" spans="1:34" ht="14.4" customHeight="1" x14ac:dyDescent="0.4">
      <c r="A35" s="3" t="s">
        <v>142</v>
      </c>
      <c r="B35" s="1" t="s">
        <v>132</v>
      </c>
      <c r="C35" s="4">
        <v>-28</v>
      </c>
      <c r="D35" s="2"/>
      <c r="E35" s="35"/>
      <c r="F35" s="5"/>
      <c r="G35" s="5"/>
      <c r="H35" s="5"/>
      <c r="I35" s="5"/>
      <c r="J35" s="5"/>
      <c r="K35" s="5"/>
      <c r="L35" s="17"/>
      <c r="M35" s="6">
        <v>55</v>
      </c>
      <c r="N35" s="13"/>
      <c r="O35" s="4">
        <v>-28</v>
      </c>
      <c r="P35" s="13"/>
      <c r="Q35" s="5"/>
      <c r="R35" s="5"/>
      <c r="S35" s="5"/>
      <c r="T35" s="5"/>
      <c r="U35" s="5"/>
      <c r="V35" s="5"/>
      <c r="W35" s="5"/>
      <c r="X35" s="4">
        <v>3</v>
      </c>
      <c r="Y35" s="17"/>
      <c r="Z35" s="5"/>
      <c r="AA35" s="5"/>
      <c r="AB35" s="5"/>
      <c r="AC35" s="5"/>
      <c r="AD35" s="13"/>
      <c r="AE35" s="13" t="s">
        <v>37</v>
      </c>
      <c r="AF35" s="7">
        <v>9</v>
      </c>
      <c r="AG35" s="7">
        <v>2.4900000000000002</v>
      </c>
      <c r="AH35" s="7">
        <f>AF35/AG35</f>
        <v>3.6144578313253009</v>
      </c>
    </row>
    <row r="36" spans="1:34" ht="14.4" customHeight="1" x14ac:dyDescent="0.4">
      <c r="A36" s="3"/>
      <c r="C36" s="13">
        <v>-25</v>
      </c>
      <c r="D36" s="2"/>
      <c r="E36" s="35"/>
      <c r="F36" s="5"/>
      <c r="G36" s="5">
        <v>8.1999999999999993</v>
      </c>
      <c r="H36" s="5">
        <v>4.2</v>
      </c>
      <c r="I36" s="5"/>
      <c r="J36" s="5"/>
      <c r="K36" s="5">
        <v>1.9523809523809523</v>
      </c>
      <c r="L36" s="17"/>
      <c r="M36" s="6">
        <v>55</v>
      </c>
      <c r="N36" s="13"/>
      <c r="O36" s="13">
        <v>-25</v>
      </c>
      <c r="P36" s="13"/>
      <c r="Q36" s="5"/>
      <c r="R36" s="5"/>
      <c r="S36" s="5">
        <v>7.6</v>
      </c>
      <c r="T36" s="5">
        <v>5.7</v>
      </c>
      <c r="U36" s="5"/>
      <c r="V36" s="5"/>
      <c r="W36" s="5">
        <v>1.3333333333333333</v>
      </c>
      <c r="X36" s="19"/>
      <c r="Y36" s="17"/>
      <c r="Z36" s="5"/>
      <c r="AA36" s="5"/>
      <c r="AB36" s="5"/>
      <c r="AC36" s="5"/>
      <c r="AD36" s="13"/>
      <c r="AE36" s="13"/>
      <c r="AF36" s="7"/>
      <c r="AG36" s="7"/>
      <c r="AH36" s="7"/>
    </row>
    <row r="37" spans="1:34" x14ac:dyDescent="0.4">
      <c r="A37" s="46"/>
      <c r="C37" s="13">
        <v>-20</v>
      </c>
      <c r="D37" s="2"/>
      <c r="E37" s="35"/>
      <c r="F37" s="5"/>
      <c r="G37" s="5">
        <v>8.1999999999999993</v>
      </c>
      <c r="H37" s="5">
        <v>3.34</v>
      </c>
      <c r="I37" s="5"/>
      <c r="J37" s="5"/>
      <c r="K37" s="5">
        <v>2.4550898203592815</v>
      </c>
      <c r="L37" s="17"/>
      <c r="M37" s="6">
        <v>65</v>
      </c>
      <c r="N37" s="13"/>
      <c r="O37" s="13">
        <v>-20</v>
      </c>
      <c r="P37" s="13"/>
      <c r="Q37" s="5"/>
      <c r="R37" s="5"/>
      <c r="S37" s="5">
        <v>7.6</v>
      </c>
      <c r="T37" s="5">
        <v>4.76</v>
      </c>
      <c r="U37" s="5"/>
      <c r="V37" s="5"/>
      <c r="W37" s="5">
        <v>1.596638655462185</v>
      </c>
      <c r="X37" s="13"/>
      <c r="Y37" s="17"/>
      <c r="Z37" s="5"/>
      <c r="AA37" s="5"/>
      <c r="AB37" s="5"/>
      <c r="AC37" s="5"/>
      <c r="AD37" s="13"/>
      <c r="AE37" s="13" t="s">
        <v>38</v>
      </c>
      <c r="AF37" s="7">
        <v>9.8000000000000007</v>
      </c>
      <c r="AG37" s="7">
        <v>2.63</v>
      </c>
      <c r="AH37" s="7">
        <f>AF37/AG37</f>
        <v>3.7262357414448672</v>
      </c>
    </row>
    <row r="38" spans="1:34" x14ac:dyDescent="0.4">
      <c r="A38" s="3"/>
      <c r="C38" s="2">
        <v>-15</v>
      </c>
      <c r="D38" s="2"/>
      <c r="E38" s="35"/>
      <c r="F38" s="5"/>
      <c r="G38" s="5">
        <v>9</v>
      </c>
      <c r="H38" s="5">
        <v>3.3</v>
      </c>
      <c r="I38" s="5"/>
      <c r="J38" s="5"/>
      <c r="K38" s="5">
        <v>2.7272727272727271</v>
      </c>
      <c r="L38" s="17"/>
      <c r="M38" s="6">
        <v>75</v>
      </c>
      <c r="N38" s="13"/>
      <c r="O38" s="13">
        <v>-15</v>
      </c>
      <c r="P38" s="13"/>
      <c r="Q38" s="5"/>
      <c r="R38" s="5"/>
      <c r="S38" s="5">
        <v>9</v>
      </c>
      <c r="T38" s="5">
        <v>4.4800000000000004</v>
      </c>
      <c r="U38" s="5"/>
      <c r="V38" s="5"/>
      <c r="W38" s="5">
        <v>2.0089285714285716</v>
      </c>
      <c r="X38" s="13"/>
      <c r="Y38" s="17"/>
      <c r="Z38" s="5"/>
      <c r="AA38" s="5"/>
      <c r="AB38" s="5"/>
      <c r="AC38" s="5"/>
      <c r="AD38" s="13"/>
      <c r="AE38" s="13" t="s">
        <v>40</v>
      </c>
      <c r="AF38" s="7">
        <v>9</v>
      </c>
      <c r="AG38" s="7">
        <v>1.71</v>
      </c>
      <c r="AH38" s="7">
        <f>AF38/AG38</f>
        <v>5.2631578947368425</v>
      </c>
    </row>
    <row r="39" spans="1:34" x14ac:dyDescent="0.4">
      <c r="A39" s="3"/>
      <c r="C39" s="2">
        <v>-10</v>
      </c>
      <c r="D39" s="2"/>
      <c r="E39" s="35"/>
      <c r="F39" s="5"/>
      <c r="G39" s="29" t="s">
        <v>61</v>
      </c>
      <c r="H39" s="29" t="s">
        <v>61</v>
      </c>
      <c r="I39" s="5"/>
      <c r="J39" s="5"/>
      <c r="K39" s="29" t="s">
        <v>61</v>
      </c>
      <c r="L39" s="17"/>
      <c r="M39" s="6">
        <v>75</v>
      </c>
      <c r="N39" s="13"/>
      <c r="O39" s="13">
        <v>-10</v>
      </c>
      <c r="P39" s="13"/>
      <c r="Q39" s="5"/>
      <c r="R39" s="5"/>
      <c r="S39" s="29" t="s">
        <v>61</v>
      </c>
      <c r="T39" s="29" t="s">
        <v>61</v>
      </c>
      <c r="U39" s="5"/>
      <c r="V39" s="5"/>
      <c r="W39" s="29" t="s">
        <v>61</v>
      </c>
      <c r="X39" s="13"/>
      <c r="Y39" s="17" t="s">
        <v>39</v>
      </c>
      <c r="Z39" s="5">
        <v>9</v>
      </c>
      <c r="AA39" s="5">
        <v>3.19</v>
      </c>
      <c r="AB39" s="5">
        <v>9</v>
      </c>
      <c r="AC39" s="5">
        <v>2.17</v>
      </c>
      <c r="AD39" s="13"/>
    </row>
    <row r="40" spans="1:34" x14ac:dyDescent="0.4">
      <c r="A40" s="3"/>
      <c r="C40" s="2">
        <v>-7</v>
      </c>
      <c r="D40" s="2"/>
      <c r="E40" s="35"/>
      <c r="F40" s="5"/>
      <c r="G40" s="5">
        <v>9</v>
      </c>
      <c r="H40" s="5">
        <v>2.61</v>
      </c>
      <c r="I40" s="5"/>
      <c r="J40" s="5"/>
      <c r="K40" s="5">
        <v>3.4482758620689653</v>
      </c>
      <c r="L40" s="17"/>
      <c r="M40" s="6">
        <v>75</v>
      </c>
      <c r="N40" s="13"/>
      <c r="O40" s="13">
        <v>-7</v>
      </c>
      <c r="P40" s="13"/>
      <c r="Q40" s="5"/>
      <c r="R40" s="5"/>
      <c r="S40" s="5">
        <v>9</v>
      </c>
      <c r="T40" s="5">
        <v>3.83</v>
      </c>
      <c r="U40" s="5"/>
      <c r="V40" s="5"/>
      <c r="W40" s="5">
        <v>2.3498694516971281</v>
      </c>
      <c r="X40" s="13"/>
      <c r="Y40" s="5">
        <f>AA40*(1.029-(0.05*Z40/G42))</f>
        <v>3.4656355555555556</v>
      </c>
      <c r="Z40" s="5">
        <v>8</v>
      </c>
      <c r="AA40" s="5">
        <v>3.52</v>
      </c>
      <c r="AB40" s="5">
        <v>8</v>
      </c>
      <c r="AC40" s="5">
        <v>2.4900000000000002</v>
      </c>
      <c r="AD40" s="13"/>
      <c r="AE40" s="13"/>
      <c r="AF40" s="19"/>
      <c r="AG40" s="19"/>
      <c r="AH40" s="20"/>
    </row>
    <row r="41" spans="1:34" x14ac:dyDescent="0.4">
      <c r="A41" s="3"/>
      <c r="C41" s="2">
        <v>2</v>
      </c>
      <c r="D41" s="2"/>
      <c r="E41" s="35"/>
      <c r="F41" s="5"/>
      <c r="G41" s="5">
        <v>9</v>
      </c>
      <c r="H41" s="5">
        <v>2.36</v>
      </c>
      <c r="I41" s="5"/>
      <c r="J41" s="5"/>
      <c r="K41" s="5">
        <v>3.8135593220338984</v>
      </c>
      <c r="L41" s="17"/>
      <c r="M41" s="6">
        <v>75</v>
      </c>
      <c r="N41" s="13"/>
      <c r="O41" s="13">
        <v>2</v>
      </c>
      <c r="P41" s="13"/>
      <c r="Q41" s="5"/>
      <c r="R41" s="5"/>
      <c r="S41" s="5">
        <v>9</v>
      </c>
      <c r="T41" s="5">
        <v>3.54</v>
      </c>
      <c r="U41" s="5"/>
      <c r="V41" s="5"/>
      <c r="W41" s="5">
        <v>2.5423728813559321</v>
      </c>
      <c r="X41" s="13"/>
      <c r="Y41" s="5">
        <f>AA41*(0.906-(0.044*Z41/G42))</f>
        <v>4.2690951111111115</v>
      </c>
      <c r="Z41" s="5">
        <v>4.9000000000000004</v>
      </c>
      <c r="AA41" s="5">
        <v>4.84</v>
      </c>
      <c r="AB41" s="5">
        <v>4.9000000000000004</v>
      </c>
      <c r="AC41" s="5">
        <v>3.29</v>
      </c>
      <c r="AD41" s="13"/>
      <c r="AE41" s="13"/>
      <c r="AF41" s="19"/>
      <c r="AG41" s="19"/>
      <c r="AH41" s="20"/>
    </row>
    <row r="42" spans="1:34" x14ac:dyDescent="0.4">
      <c r="A42" s="3"/>
      <c r="C42" s="2">
        <v>7</v>
      </c>
      <c r="D42" s="2"/>
      <c r="E42" s="35"/>
      <c r="F42" s="5"/>
      <c r="G42" s="5">
        <v>9</v>
      </c>
      <c r="H42" s="5">
        <v>1.72</v>
      </c>
      <c r="I42" s="5"/>
      <c r="J42" s="5"/>
      <c r="K42" s="5">
        <v>5.2325581395348841</v>
      </c>
      <c r="L42" s="17"/>
      <c r="M42" s="6">
        <v>75</v>
      </c>
      <c r="N42" s="13"/>
      <c r="O42" s="13">
        <v>7</v>
      </c>
      <c r="P42" s="13"/>
      <c r="Q42" s="5"/>
      <c r="R42" s="5"/>
      <c r="S42" s="5">
        <v>9</v>
      </c>
      <c r="T42" s="5">
        <v>2.78</v>
      </c>
      <c r="U42" s="5"/>
      <c r="V42" s="5"/>
      <c r="W42" s="5">
        <v>3.2374100719424459</v>
      </c>
      <c r="X42" s="13"/>
      <c r="Y42" s="5">
        <f>K42</f>
        <v>5.2325581395348841</v>
      </c>
      <c r="Z42" s="5">
        <v>4.8</v>
      </c>
      <c r="AA42" s="5">
        <v>6.15</v>
      </c>
      <c r="AB42" s="5">
        <v>4.7</v>
      </c>
      <c r="AC42" s="5">
        <v>4.42</v>
      </c>
      <c r="AD42" s="13"/>
      <c r="AE42" s="13"/>
      <c r="AF42" s="19"/>
      <c r="AG42" s="19"/>
      <c r="AH42" s="20"/>
    </row>
    <row r="43" spans="1:34" x14ac:dyDescent="0.4">
      <c r="A43" s="3"/>
      <c r="C43" s="2">
        <v>12</v>
      </c>
      <c r="D43" s="2"/>
      <c r="E43" s="35"/>
      <c r="F43" s="5"/>
      <c r="G43" s="29" t="s">
        <v>61</v>
      </c>
      <c r="H43" s="29" t="s">
        <v>61</v>
      </c>
      <c r="I43" s="5"/>
      <c r="J43" s="5"/>
      <c r="K43" s="29" t="s">
        <v>61</v>
      </c>
      <c r="L43" s="17"/>
      <c r="M43" s="6">
        <v>75</v>
      </c>
      <c r="N43" s="13"/>
      <c r="O43" s="13">
        <v>12</v>
      </c>
      <c r="P43" s="13"/>
      <c r="Q43" s="5"/>
      <c r="R43" s="5"/>
      <c r="S43" s="29" t="s">
        <v>61</v>
      </c>
      <c r="T43" s="29" t="s">
        <v>61</v>
      </c>
      <c r="U43" s="5"/>
      <c r="V43" s="5"/>
      <c r="W43" s="29" t="s">
        <v>61</v>
      </c>
      <c r="X43" s="13"/>
      <c r="Y43" s="17"/>
      <c r="Z43" s="5">
        <v>5.7</v>
      </c>
      <c r="AA43" s="5">
        <v>7.8</v>
      </c>
      <c r="AB43" s="5">
        <v>5.6</v>
      </c>
      <c r="AC43" s="5">
        <v>5.78</v>
      </c>
      <c r="AD43" s="13"/>
      <c r="AE43" s="13"/>
      <c r="AF43" s="19"/>
      <c r="AG43" s="19"/>
      <c r="AH43" s="20"/>
    </row>
    <row r="44" spans="1:34" x14ac:dyDescent="0.4">
      <c r="A44" s="8"/>
      <c r="B44" s="8"/>
      <c r="C44" s="9"/>
      <c r="D44" s="9"/>
      <c r="E44" s="18"/>
      <c r="F44" s="18"/>
      <c r="G44" s="38"/>
      <c r="H44" s="37"/>
      <c r="I44" s="22"/>
      <c r="J44" s="22"/>
      <c r="K44" s="37"/>
      <c r="L44" s="18"/>
      <c r="M44" s="14"/>
      <c r="N44" s="14"/>
      <c r="O44" s="14"/>
      <c r="P44" s="14"/>
      <c r="Q44" s="18"/>
      <c r="R44" s="22"/>
      <c r="S44" s="22"/>
      <c r="T44" s="22"/>
      <c r="U44" s="22"/>
      <c r="V44" s="22"/>
      <c r="W44" s="22"/>
      <c r="X44" s="14"/>
      <c r="Y44" s="31"/>
      <c r="Z44" s="31"/>
      <c r="AA44" s="31"/>
      <c r="AB44" s="31"/>
      <c r="AC44" s="31"/>
      <c r="AD44" s="14"/>
      <c r="AE44" s="14"/>
      <c r="AF44" s="14"/>
      <c r="AG44" s="14"/>
      <c r="AH44" s="14"/>
    </row>
    <row r="45" spans="1:34" x14ac:dyDescent="0.4">
      <c r="A45" s="3" t="s">
        <v>138</v>
      </c>
      <c r="B45" s="1" t="s">
        <v>133</v>
      </c>
      <c r="C45" s="4">
        <v>-28</v>
      </c>
      <c r="D45" s="2"/>
      <c r="E45" s="5"/>
      <c r="F45" s="5"/>
      <c r="G45" s="5"/>
      <c r="H45" s="5"/>
      <c r="I45" s="5"/>
      <c r="J45" s="5"/>
      <c r="K45" s="5"/>
      <c r="L45" s="17"/>
      <c r="M45" s="6">
        <v>55</v>
      </c>
      <c r="N45" s="13"/>
      <c r="O45" s="4">
        <v>-28</v>
      </c>
      <c r="P45" s="13"/>
      <c r="Q45" s="5"/>
      <c r="R45" s="5"/>
      <c r="S45" s="5"/>
      <c r="T45" s="5"/>
      <c r="U45" s="5"/>
      <c r="V45" s="5"/>
      <c r="W45" s="5"/>
      <c r="X45" s="4">
        <v>3</v>
      </c>
      <c r="Y45" s="17"/>
      <c r="Z45" s="5"/>
      <c r="AA45" s="5"/>
      <c r="AB45" s="5"/>
      <c r="AC45" s="5"/>
      <c r="AD45" s="13"/>
      <c r="AE45" s="13" t="s">
        <v>37</v>
      </c>
      <c r="AF45" s="7">
        <v>12</v>
      </c>
      <c r="AG45" s="7">
        <v>4.21</v>
      </c>
      <c r="AH45" s="7">
        <f>AF45/AG45</f>
        <v>2.8503562945368173</v>
      </c>
    </row>
    <row r="46" spans="1:34" x14ac:dyDescent="0.4">
      <c r="A46" s="3"/>
      <c r="C46" s="13">
        <v>-25</v>
      </c>
      <c r="D46" s="2"/>
      <c r="E46" s="5"/>
      <c r="F46" s="5"/>
      <c r="G46" s="5">
        <v>10.5</v>
      </c>
      <c r="H46" s="5">
        <v>5.55</v>
      </c>
      <c r="I46" s="5"/>
      <c r="J46" s="5"/>
      <c r="K46" s="5">
        <v>1.8918918918918919</v>
      </c>
      <c r="L46" s="17"/>
      <c r="M46" s="6">
        <v>55</v>
      </c>
      <c r="N46" s="13"/>
      <c r="O46" s="13">
        <v>-25</v>
      </c>
      <c r="P46" s="13"/>
      <c r="Q46" s="5"/>
      <c r="R46" s="5"/>
      <c r="S46" s="5">
        <v>9.6999999999999993</v>
      </c>
      <c r="T46" s="5">
        <v>7.4</v>
      </c>
      <c r="U46" s="5"/>
      <c r="V46" s="5"/>
      <c r="W46" s="5">
        <v>1.3108108108108107</v>
      </c>
      <c r="X46" s="19"/>
      <c r="Y46" s="17"/>
      <c r="Z46" s="5"/>
      <c r="AA46" s="5"/>
      <c r="AB46" s="5"/>
      <c r="AC46" s="5"/>
      <c r="AD46" s="13"/>
      <c r="AE46" s="13"/>
      <c r="AF46" s="7"/>
      <c r="AG46" s="7"/>
      <c r="AH46" s="7"/>
    </row>
    <row r="47" spans="1:34" x14ac:dyDescent="0.4">
      <c r="A47" s="46"/>
      <c r="C47" s="13">
        <v>-20</v>
      </c>
      <c r="D47" s="2"/>
      <c r="E47" s="5"/>
      <c r="F47" s="5"/>
      <c r="G47" s="5">
        <v>11.2</v>
      </c>
      <c r="H47" s="5">
        <v>4.75</v>
      </c>
      <c r="I47" s="5"/>
      <c r="J47" s="5"/>
      <c r="K47" s="5">
        <v>2.357894736842105</v>
      </c>
      <c r="L47" s="17"/>
      <c r="M47" s="6">
        <v>65</v>
      </c>
      <c r="N47" s="13"/>
      <c r="O47" s="13">
        <v>-20</v>
      </c>
      <c r="P47" s="13"/>
      <c r="Q47" s="5"/>
      <c r="R47" s="5"/>
      <c r="S47" s="5">
        <v>10.8</v>
      </c>
      <c r="T47" s="5">
        <v>6.45</v>
      </c>
      <c r="U47" s="5"/>
      <c r="V47" s="5"/>
      <c r="W47" s="5">
        <v>1.6744186046511629</v>
      </c>
      <c r="X47" s="19"/>
      <c r="Y47" s="17"/>
      <c r="Z47" s="5"/>
      <c r="AA47" s="5"/>
      <c r="AB47" s="5"/>
      <c r="AC47" s="5"/>
      <c r="AD47" s="13"/>
      <c r="AE47" s="13" t="s">
        <v>38</v>
      </c>
      <c r="AF47" s="7">
        <v>13.2</v>
      </c>
      <c r="AG47" s="7">
        <v>3.25</v>
      </c>
      <c r="AH47" s="7">
        <f>AF47/AG47</f>
        <v>4.0615384615384613</v>
      </c>
    </row>
    <row r="48" spans="1:34" x14ac:dyDescent="0.4">
      <c r="A48" s="3"/>
      <c r="C48" s="2">
        <v>-15</v>
      </c>
      <c r="D48" s="2"/>
      <c r="E48" s="5"/>
      <c r="F48" s="5"/>
      <c r="G48" s="5">
        <v>12</v>
      </c>
      <c r="H48" s="5">
        <v>4.5599999999999996</v>
      </c>
      <c r="I48" s="5"/>
      <c r="J48" s="5"/>
      <c r="K48" s="5">
        <v>2.6315789473684212</v>
      </c>
      <c r="L48" s="17"/>
      <c r="M48" s="6">
        <v>75</v>
      </c>
      <c r="N48" s="13"/>
      <c r="O48" s="13">
        <v>-15</v>
      </c>
      <c r="P48" s="13"/>
      <c r="Q48" s="5"/>
      <c r="R48" s="5"/>
      <c r="S48" s="5">
        <v>12</v>
      </c>
      <c r="T48" s="5">
        <v>6</v>
      </c>
      <c r="U48" s="5"/>
      <c r="V48" s="5"/>
      <c r="W48" s="5">
        <v>2</v>
      </c>
      <c r="X48" s="19"/>
      <c r="Y48" s="17"/>
      <c r="Z48" s="5"/>
      <c r="AA48" s="5"/>
      <c r="AB48" s="5"/>
      <c r="AC48" s="5"/>
      <c r="AD48" s="13"/>
      <c r="AE48" s="13" t="s">
        <v>40</v>
      </c>
      <c r="AF48" s="7">
        <v>12</v>
      </c>
      <c r="AG48" s="7">
        <v>2.8</v>
      </c>
      <c r="AH48" s="7">
        <f>AF48/AG48</f>
        <v>4.2857142857142856</v>
      </c>
    </row>
    <row r="49" spans="1:34" x14ac:dyDescent="0.4">
      <c r="A49" s="3"/>
      <c r="C49" s="2">
        <v>-10</v>
      </c>
      <c r="D49" s="2"/>
      <c r="E49" s="5"/>
      <c r="F49" s="5"/>
      <c r="G49" s="29" t="s">
        <v>61</v>
      </c>
      <c r="H49" s="29" t="s">
        <v>61</v>
      </c>
      <c r="I49" s="5"/>
      <c r="J49" s="5"/>
      <c r="K49" s="29" t="s">
        <v>61</v>
      </c>
      <c r="L49" s="17"/>
      <c r="M49" s="6">
        <v>75</v>
      </c>
      <c r="N49" s="13"/>
      <c r="O49" s="13">
        <v>-10</v>
      </c>
      <c r="P49" s="13"/>
      <c r="Q49" s="5"/>
      <c r="R49" s="5"/>
      <c r="S49" s="29" t="s">
        <v>61</v>
      </c>
      <c r="T49" s="29" t="s">
        <v>61</v>
      </c>
      <c r="U49" s="5"/>
      <c r="V49" s="5"/>
      <c r="W49" s="29" t="s">
        <v>61</v>
      </c>
      <c r="X49" s="19"/>
      <c r="Y49" s="17" t="s">
        <v>39</v>
      </c>
      <c r="Z49" s="5">
        <v>12</v>
      </c>
      <c r="AA49" s="5">
        <v>2.91</v>
      </c>
      <c r="AB49" s="5">
        <v>12</v>
      </c>
      <c r="AC49" s="5">
        <v>2.12</v>
      </c>
      <c r="AD49" s="13"/>
    </row>
    <row r="50" spans="1:34" x14ac:dyDescent="0.4">
      <c r="A50" s="3"/>
      <c r="C50" s="2">
        <v>-7</v>
      </c>
      <c r="D50" s="2"/>
      <c r="E50" s="5"/>
      <c r="F50" s="5"/>
      <c r="G50" s="5">
        <v>12</v>
      </c>
      <c r="H50" s="5">
        <v>4</v>
      </c>
      <c r="I50" s="5"/>
      <c r="J50" s="5"/>
      <c r="K50" s="5">
        <v>3</v>
      </c>
      <c r="L50" s="17"/>
      <c r="M50" s="6">
        <v>75</v>
      </c>
      <c r="N50" s="13"/>
      <c r="O50" s="13">
        <v>-7</v>
      </c>
      <c r="P50" s="13"/>
      <c r="Q50" s="5"/>
      <c r="R50" s="5"/>
      <c r="S50" s="5">
        <v>12</v>
      </c>
      <c r="T50" s="5">
        <v>5.53</v>
      </c>
      <c r="U50" s="5"/>
      <c r="V50" s="5"/>
      <c r="W50" s="5">
        <v>2.1699819168173597</v>
      </c>
      <c r="X50" s="19"/>
      <c r="Y50" s="5">
        <f>AA50*(1.029-(0.05*Z50/G52))</f>
        <v>2.7476849999999997</v>
      </c>
      <c r="Z50" s="5">
        <v>10.6</v>
      </c>
      <c r="AA50" s="5">
        <v>2.79</v>
      </c>
      <c r="AB50" s="5">
        <v>10.6</v>
      </c>
      <c r="AC50" s="5">
        <v>2.2200000000000002</v>
      </c>
      <c r="AD50" s="13"/>
      <c r="AE50" s="13"/>
      <c r="AF50" s="19"/>
      <c r="AG50" s="19"/>
      <c r="AH50" s="20"/>
    </row>
    <row r="51" spans="1:34" x14ac:dyDescent="0.4">
      <c r="A51" s="3"/>
      <c r="C51" s="2">
        <v>2</v>
      </c>
      <c r="D51" s="2"/>
      <c r="E51" s="5"/>
      <c r="F51" s="5"/>
      <c r="G51" s="5">
        <v>12</v>
      </c>
      <c r="H51" s="5">
        <v>3.39</v>
      </c>
      <c r="I51" s="5"/>
      <c r="J51" s="5"/>
      <c r="K51" s="5">
        <v>3.5398230088495577</v>
      </c>
      <c r="L51" s="17"/>
      <c r="M51" s="6">
        <v>75</v>
      </c>
      <c r="N51" s="13"/>
      <c r="O51" s="13">
        <v>2</v>
      </c>
      <c r="P51" s="13"/>
      <c r="Q51" s="5"/>
      <c r="R51" s="5"/>
      <c r="S51" s="5">
        <v>12</v>
      </c>
      <c r="T51" s="5">
        <v>4.95</v>
      </c>
      <c r="U51" s="5"/>
      <c r="V51" s="5"/>
      <c r="W51" s="5">
        <v>2.4242424242424243</v>
      </c>
      <c r="X51" s="19"/>
      <c r="Y51" s="5">
        <f>AA51*(0.906-(0.044*Z51/G52))</f>
        <v>4.1020750000000001</v>
      </c>
      <c r="Z51" s="5">
        <v>6.5</v>
      </c>
      <c r="AA51" s="5">
        <v>4.6500000000000004</v>
      </c>
      <c r="AB51" s="5">
        <v>6.5</v>
      </c>
      <c r="AC51" s="5">
        <v>3.65</v>
      </c>
      <c r="AD51" s="13"/>
      <c r="AE51" s="13"/>
      <c r="AF51" s="19"/>
      <c r="AG51" s="19"/>
      <c r="AH51" s="20"/>
    </row>
    <row r="52" spans="1:34" x14ac:dyDescent="0.4">
      <c r="A52" s="3"/>
      <c r="C52" s="2">
        <v>7</v>
      </c>
      <c r="D52" s="2"/>
      <c r="E52" s="5"/>
      <c r="F52" s="5"/>
      <c r="G52" s="5">
        <v>12</v>
      </c>
      <c r="H52" s="5">
        <v>2.37</v>
      </c>
      <c r="I52" s="5"/>
      <c r="J52" s="5"/>
      <c r="K52" s="5">
        <v>5.0632911392405067</v>
      </c>
      <c r="L52" s="17"/>
      <c r="M52" s="6">
        <v>75</v>
      </c>
      <c r="N52" s="13"/>
      <c r="O52" s="13">
        <v>7</v>
      </c>
      <c r="P52" s="13"/>
      <c r="Q52" s="5"/>
      <c r="R52" s="5"/>
      <c r="S52" s="5">
        <v>12</v>
      </c>
      <c r="T52" s="5">
        <v>3.71</v>
      </c>
      <c r="U52" s="5"/>
      <c r="V52" s="5"/>
      <c r="W52" s="5">
        <v>3.2345013477088949</v>
      </c>
      <c r="X52" s="19"/>
      <c r="Y52" s="5">
        <f>K52</f>
        <v>5.0632911392405067</v>
      </c>
      <c r="Z52" s="5">
        <v>5.3</v>
      </c>
      <c r="AA52" s="5">
        <v>6.25</v>
      </c>
      <c r="AB52" s="5">
        <v>4.9000000000000004</v>
      </c>
      <c r="AC52" s="5">
        <v>4.57</v>
      </c>
      <c r="AD52" s="13"/>
      <c r="AE52" s="13"/>
      <c r="AF52" s="19"/>
      <c r="AG52" s="19"/>
      <c r="AH52" s="20"/>
    </row>
    <row r="53" spans="1:34" x14ac:dyDescent="0.4">
      <c r="A53" s="3"/>
      <c r="C53" s="2">
        <v>12</v>
      </c>
      <c r="D53" s="2"/>
      <c r="E53" s="5"/>
      <c r="F53" s="5"/>
      <c r="G53" s="29" t="s">
        <v>61</v>
      </c>
      <c r="H53" s="29" t="s">
        <v>61</v>
      </c>
      <c r="I53" s="5"/>
      <c r="J53" s="5"/>
      <c r="K53" s="29" t="s">
        <v>61</v>
      </c>
      <c r="L53" s="17"/>
      <c r="M53" s="6">
        <v>75</v>
      </c>
      <c r="N53" s="13"/>
      <c r="O53" s="13">
        <v>12</v>
      </c>
      <c r="P53" s="13"/>
      <c r="Q53" s="5"/>
      <c r="R53" s="5"/>
      <c r="S53" s="29" t="s">
        <v>61</v>
      </c>
      <c r="T53" s="29" t="s">
        <v>61</v>
      </c>
      <c r="U53" s="5"/>
      <c r="V53" s="5"/>
      <c r="W53" s="29" t="s">
        <v>61</v>
      </c>
      <c r="X53" s="19"/>
      <c r="Y53" s="17"/>
      <c r="Z53" s="5">
        <v>6.1</v>
      </c>
      <c r="AA53" s="5">
        <v>7.78</v>
      </c>
      <c r="AB53" s="5">
        <v>5.7</v>
      </c>
      <c r="AC53" s="5">
        <v>5.84</v>
      </c>
      <c r="AD53" s="13"/>
      <c r="AE53" s="13"/>
      <c r="AF53" s="19"/>
      <c r="AG53" s="19"/>
      <c r="AH53" s="20"/>
    </row>
    <row r="54" spans="1:34" x14ac:dyDescent="0.4">
      <c r="A54" s="8"/>
      <c r="B54" s="8"/>
      <c r="C54" s="9"/>
      <c r="D54" s="9"/>
      <c r="E54" s="18"/>
      <c r="F54" s="18"/>
      <c r="G54" s="38"/>
      <c r="H54" s="37"/>
      <c r="I54" s="22"/>
      <c r="J54" s="22"/>
      <c r="K54" s="37"/>
      <c r="L54" s="18"/>
      <c r="M54" s="14"/>
      <c r="N54" s="14"/>
      <c r="O54" s="14"/>
      <c r="P54" s="14"/>
      <c r="Q54" s="18"/>
      <c r="R54" s="22"/>
      <c r="S54" s="22"/>
      <c r="T54" s="22"/>
      <c r="U54" s="22"/>
      <c r="V54" s="22"/>
      <c r="W54" s="22"/>
      <c r="X54" s="14"/>
      <c r="Y54" s="31"/>
      <c r="Z54" s="31"/>
      <c r="AA54" s="31"/>
      <c r="AB54" s="31"/>
      <c r="AC54" s="31"/>
      <c r="AD54" s="14"/>
      <c r="AE54" s="14"/>
      <c r="AF54" s="14"/>
      <c r="AG54" s="14"/>
      <c r="AH54" s="14"/>
    </row>
    <row r="55" spans="1:34" x14ac:dyDescent="0.4">
      <c r="A55" s="3" t="s">
        <v>145</v>
      </c>
      <c r="B55" s="1" t="s">
        <v>133</v>
      </c>
      <c r="C55" s="4">
        <v>-28</v>
      </c>
      <c r="D55" s="2"/>
      <c r="E55" s="5"/>
      <c r="F55" s="5"/>
      <c r="G55" s="5"/>
      <c r="H55" s="5"/>
      <c r="I55" s="5"/>
      <c r="J55" s="5"/>
      <c r="K55" s="5"/>
      <c r="L55" s="17"/>
      <c r="M55" s="6">
        <v>55</v>
      </c>
      <c r="N55" s="13"/>
      <c r="O55" s="4">
        <v>-28</v>
      </c>
      <c r="P55" s="13"/>
      <c r="Q55" s="5"/>
      <c r="R55" s="5"/>
      <c r="S55" s="5"/>
      <c r="T55" s="5"/>
      <c r="U55" s="5"/>
      <c r="V55" s="5"/>
      <c r="W55" s="5"/>
      <c r="X55" s="4">
        <v>6</v>
      </c>
      <c r="Y55" s="17"/>
      <c r="Z55" s="5"/>
      <c r="AA55" s="5"/>
      <c r="AB55" s="5"/>
      <c r="AC55" s="5"/>
      <c r="AD55" s="13"/>
      <c r="AE55" s="13" t="s">
        <v>37</v>
      </c>
      <c r="AF55" s="7">
        <v>12</v>
      </c>
      <c r="AG55" s="7">
        <v>4.21</v>
      </c>
      <c r="AH55" s="7">
        <f>AF55/AG55</f>
        <v>2.8503562945368173</v>
      </c>
    </row>
    <row r="56" spans="1:34" x14ac:dyDescent="0.4">
      <c r="A56" s="3"/>
      <c r="C56" s="13">
        <v>-25</v>
      </c>
      <c r="D56" s="2"/>
      <c r="E56" s="5"/>
      <c r="F56" s="5"/>
      <c r="G56" s="5">
        <v>10.5</v>
      </c>
      <c r="H56" s="5">
        <v>5.55</v>
      </c>
      <c r="I56" s="5"/>
      <c r="J56" s="5"/>
      <c r="K56" s="5">
        <v>1.8918918918918919</v>
      </c>
      <c r="L56" s="17"/>
      <c r="M56" s="6">
        <v>55</v>
      </c>
      <c r="N56" s="13"/>
      <c r="O56" s="13">
        <v>-25</v>
      </c>
      <c r="P56" s="13"/>
      <c r="Q56" s="5"/>
      <c r="R56" s="5"/>
      <c r="S56" s="5">
        <v>9.6999999999999993</v>
      </c>
      <c r="T56" s="5">
        <v>7.4</v>
      </c>
      <c r="U56" s="5"/>
      <c r="V56" s="5"/>
      <c r="W56" s="5">
        <v>1.3108108108108107</v>
      </c>
      <c r="X56" s="19"/>
      <c r="Y56" s="17"/>
      <c r="Z56" s="5"/>
      <c r="AA56" s="5"/>
      <c r="AB56" s="5"/>
      <c r="AC56" s="5"/>
      <c r="AD56" s="13"/>
      <c r="AE56" s="13"/>
      <c r="AF56" s="7"/>
      <c r="AG56" s="7"/>
      <c r="AH56" s="7"/>
    </row>
    <row r="57" spans="1:34" x14ac:dyDescent="0.4">
      <c r="A57" s="46"/>
      <c r="C57" s="13">
        <v>-20</v>
      </c>
      <c r="D57" s="2"/>
      <c r="E57" s="5"/>
      <c r="F57" s="5"/>
      <c r="G57" s="5">
        <v>11.2</v>
      </c>
      <c r="H57" s="5">
        <v>4.75</v>
      </c>
      <c r="I57" s="5"/>
      <c r="J57" s="5"/>
      <c r="K57" s="5">
        <v>2.357894736842105</v>
      </c>
      <c r="L57" s="17"/>
      <c r="M57" s="6">
        <v>65</v>
      </c>
      <c r="N57" s="13"/>
      <c r="O57" s="13">
        <v>-20</v>
      </c>
      <c r="P57" s="13"/>
      <c r="Q57" s="5"/>
      <c r="R57" s="5"/>
      <c r="S57" s="5">
        <v>10.8</v>
      </c>
      <c r="T57" s="5">
        <v>6.45</v>
      </c>
      <c r="U57" s="5"/>
      <c r="V57" s="5"/>
      <c r="W57" s="5">
        <v>1.6744186046511629</v>
      </c>
      <c r="X57" s="19"/>
      <c r="Y57" s="17"/>
      <c r="Z57" s="5"/>
      <c r="AA57" s="5"/>
      <c r="AB57" s="5"/>
      <c r="AC57" s="5"/>
      <c r="AD57" s="13"/>
      <c r="AE57" s="13" t="s">
        <v>38</v>
      </c>
      <c r="AF57" s="7">
        <v>13.2</v>
      </c>
      <c r="AG57" s="7">
        <v>3.25</v>
      </c>
      <c r="AH57" s="7">
        <f>AF57/AG57</f>
        <v>4.0615384615384613</v>
      </c>
    </row>
    <row r="58" spans="1:34" x14ac:dyDescent="0.4">
      <c r="A58" s="3"/>
      <c r="C58" s="2">
        <v>-15</v>
      </c>
      <c r="D58" s="2"/>
      <c r="E58" s="5"/>
      <c r="F58" s="5"/>
      <c r="G58" s="5">
        <v>12</v>
      </c>
      <c r="H58" s="5">
        <v>4.5599999999999996</v>
      </c>
      <c r="I58" s="5"/>
      <c r="J58" s="5"/>
      <c r="K58" s="5">
        <v>2.6315789473684212</v>
      </c>
      <c r="L58" s="17"/>
      <c r="M58" s="6">
        <v>75</v>
      </c>
      <c r="N58" s="13"/>
      <c r="O58" s="13">
        <v>-15</v>
      </c>
      <c r="P58" s="13"/>
      <c r="Q58" s="5"/>
      <c r="R58" s="5"/>
      <c r="S58" s="5">
        <v>12</v>
      </c>
      <c r="T58" s="5">
        <v>6</v>
      </c>
      <c r="U58" s="5"/>
      <c r="V58" s="5"/>
      <c r="W58" s="5">
        <v>2</v>
      </c>
      <c r="X58" s="19"/>
      <c r="Y58" s="17"/>
      <c r="Z58" s="5"/>
      <c r="AA58" s="5"/>
      <c r="AB58" s="5"/>
      <c r="AC58" s="5"/>
      <c r="AD58" s="13"/>
      <c r="AE58" s="13" t="s">
        <v>40</v>
      </c>
      <c r="AF58" s="7">
        <v>12</v>
      </c>
      <c r="AG58" s="7">
        <v>2.8</v>
      </c>
      <c r="AH58" s="7">
        <f>AF58/AG58</f>
        <v>4.2857142857142856</v>
      </c>
    </row>
    <row r="59" spans="1:34" x14ac:dyDescent="0.4">
      <c r="A59" s="3"/>
      <c r="C59" s="2">
        <v>-10</v>
      </c>
      <c r="D59" s="2"/>
      <c r="E59" s="5"/>
      <c r="F59" s="5"/>
      <c r="G59" s="29" t="s">
        <v>61</v>
      </c>
      <c r="H59" s="29" t="s">
        <v>61</v>
      </c>
      <c r="I59" s="5"/>
      <c r="J59" s="5"/>
      <c r="K59" s="29" t="s">
        <v>61</v>
      </c>
      <c r="L59" s="17"/>
      <c r="M59" s="6">
        <v>75</v>
      </c>
      <c r="N59" s="13"/>
      <c r="O59" s="13">
        <v>-10</v>
      </c>
      <c r="P59" s="13"/>
      <c r="Q59" s="5"/>
      <c r="R59" s="5"/>
      <c r="S59" s="29" t="s">
        <v>61</v>
      </c>
      <c r="T59" s="29" t="s">
        <v>61</v>
      </c>
      <c r="U59" s="5"/>
      <c r="V59" s="5"/>
      <c r="W59" s="29" t="s">
        <v>61</v>
      </c>
      <c r="X59" s="19"/>
      <c r="Y59" s="17" t="s">
        <v>39</v>
      </c>
      <c r="Z59" s="5">
        <v>12</v>
      </c>
      <c r="AA59" s="5">
        <v>2.91</v>
      </c>
      <c r="AB59" s="5">
        <v>12</v>
      </c>
      <c r="AC59" s="5">
        <v>2.12</v>
      </c>
      <c r="AD59" s="13"/>
    </row>
    <row r="60" spans="1:34" x14ac:dyDescent="0.4">
      <c r="A60" s="3"/>
      <c r="C60" s="2">
        <v>-7</v>
      </c>
      <c r="D60" s="2"/>
      <c r="E60" s="5"/>
      <c r="F60" s="5"/>
      <c r="G60" s="5">
        <v>12</v>
      </c>
      <c r="H60" s="5">
        <v>4</v>
      </c>
      <c r="I60" s="5"/>
      <c r="J60" s="5"/>
      <c r="K60" s="5">
        <v>3</v>
      </c>
      <c r="L60" s="17"/>
      <c r="M60" s="6">
        <v>75</v>
      </c>
      <c r="N60" s="13"/>
      <c r="O60" s="13">
        <v>-7</v>
      </c>
      <c r="P60" s="13"/>
      <c r="Q60" s="5"/>
      <c r="R60" s="5"/>
      <c r="S60" s="5">
        <v>12</v>
      </c>
      <c r="T60" s="5">
        <v>5.53</v>
      </c>
      <c r="U60" s="5"/>
      <c r="V60" s="5"/>
      <c r="W60" s="5">
        <v>2.1699819168173597</v>
      </c>
      <c r="X60" s="19"/>
      <c r="Y60" s="5">
        <f>AA60*(1.029-(0.05*Z60/G62))</f>
        <v>2.7476849999999997</v>
      </c>
      <c r="Z60" s="5">
        <v>10.6</v>
      </c>
      <c r="AA60" s="5">
        <v>2.79</v>
      </c>
      <c r="AB60" s="5">
        <v>10.6</v>
      </c>
      <c r="AC60" s="5">
        <v>2.2200000000000002</v>
      </c>
      <c r="AD60" s="13"/>
      <c r="AE60" s="13"/>
      <c r="AF60" s="19"/>
      <c r="AG60" s="19"/>
      <c r="AH60" s="20"/>
    </row>
    <row r="61" spans="1:34" x14ac:dyDescent="0.4">
      <c r="A61" s="3"/>
      <c r="C61" s="2">
        <v>2</v>
      </c>
      <c r="D61" s="2"/>
      <c r="E61" s="5"/>
      <c r="F61" s="5"/>
      <c r="G61" s="5">
        <v>12</v>
      </c>
      <c r="H61" s="5">
        <v>3.39</v>
      </c>
      <c r="I61" s="5"/>
      <c r="J61" s="5"/>
      <c r="K61" s="5">
        <v>3.5398230088495577</v>
      </c>
      <c r="L61" s="17"/>
      <c r="M61" s="6">
        <v>75</v>
      </c>
      <c r="N61" s="13"/>
      <c r="O61" s="13">
        <v>2</v>
      </c>
      <c r="P61" s="13"/>
      <c r="Q61" s="5"/>
      <c r="R61" s="5"/>
      <c r="S61" s="5">
        <v>12</v>
      </c>
      <c r="T61" s="5">
        <v>4.95</v>
      </c>
      <c r="U61" s="5"/>
      <c r="V61" s="5"/>
      <c r="W61" s="5">
        <v>2.4242424242424243</v>
      </c>
      <c r="X61" s="19"/>
      <c r="Y61" s="5">
        <f>AA61*(0.906-(0.044*Z61/G62))</f>
        <v>4.1020750000000001</v>
      </c>
      <c r="Z61" s="5">
        <v>6.5</v>
      </c>
      <c r="AA61" s="5">
        <v>4.6500000000000004</v>
      </c>
      <c r="AB61" s="5">
        <v>6.5</v>
      </c>
      <c r="AC61" s="5">
        <v>3.65</v>
      </c>
      <c r="AD61" s="13"/>
      <c r="AE61" s="13"/>
      <c r="AF61" s="19"/>
      <c r="AG61" s="19"/>
      <c r="AH61" s="20"/>
    </row>
    <row r="62" spans="1:34" x14ac:dyDescent="0.4">
      <c r="A62" s="3"/>
      <c r="C62" s="2">
        <v>7</v>
      </c>
      <c r="D62" s="2"/>
      <c r="E62" s="5"/>
      <c r="F62" s="5"/>
      <c r="G62" s="5">
        <v>12</v>
      </c>
      <c r="H62" s="5">
        <v>2.37</v>
      </c>
      <c r="I62" s="5"/>
      <c r="J62" s="5"/>
      <c r="K62" s="5">
        <v>5.0632911392405067</v>
      </c>
      <c r="L62" s="17"/>
      <c r="M62" s="6">
        <v>75</v>
      </c>
      <c r="N62" s="13"/>
      <c r="O62" s="13">
        <v>7</v>
      </c>
      <c r="P62" s="13"/>
      <c r="Q62" s="5"/>
      <c r="R62" s="5"/>
      <c r="S62" s="5">
        <v>12</v>
      </c>
      <c r="T62" s="5">
        <v>3.71</v>
      </c>
      <c r="U62" s="5"/>
      <c r="V62" s="5"/>
      <c r="W62" s="5">
        <v>3.2345013477088949</v>
      </c>
      <c r="X62" s="19"/>
      <c r="Y62" s="5">
        <f>K62</f>
        <v>5.0632911392405067</v>
      </c>
      <c r="Z62" s="5">
        <v>5.3</v>
      </c>
      <c r="AA62" s="5">
        <v>6.25</v>
      </c>
      <c r="AB62" s="5">
        <v>4.9000000000000004</v>
      </c>
      <c r="AC62" s="5">
        <v>4.57</v>
      </c>
      <c r="AD62" s="13"/>
      <c r="AE62" s="13"/>
      <c r="AF62" s="19"/>
      <c r="AG62" s="19"/>
      <c r="AH62" s="20"/>
    </row>
    <row r="63" spans="1:34" x14ac:dyDescent="0.4">
      <c r="A63" s="3"/>
      <c r="C63" s="2">
        <v>12</v>
      </c>
      <c r="D63" s="2"/>
      <c r="E63" s="5"/>
      <c r="F63" s="5"/>
      <c r="G63" s="29" t="s">
        <v>61</v>
      </c>
      <c r="H63" s="29" t="s">
        <v>61</v>
      </c>
      <c r="I63" s="5"/>
      <c r="J63" s="5"/>
      <c r="K63" s="29" t="s">
        <v>61</v>
      </c>
      <c r="L63" s="17"/>
      <c r="M63" s="6">
        <v>75</v>
      </c>
      <c r="N63" s="13"/>
      <c r="O63" s="13">
        <v>12</v>
      </c>
      <c r="P63" s="13"/>
      <c r="Q63" s="5"/>
      <c r="R63" s="5"/>
      <c r="S63" s="29" t="s">
        <v>61</v>
      </c>
      <c r="T63" s="29" t="s">
        <v>61</v>
      </c>
      <c r="U63" s="5"/>
      <c r="V63" s="5"/>
      <c r="W63" s="29" t="s">
        <v>61</v>
      </c>
      <c r="X63" s="19"/>
      <c r="Y63" s="17"/>
      <c r="Z63" s="5">
        <v>6.1</v>
      </c>
      <c r="AA63" s="5">
        <v>7.78</v>
      </c>
      <c r="AB63" s="5">
        <v>5.7</v>
      </c>
      <c r="AC63" s="5">
        <v>5.84</v>
      </c>
      <c r="AD63" s="13"/>
      <c r="AE63" s="13"/>
      <c r="AF63" s="19"/>
      <c r="AG63" s="19"/>
      <c r="AH63" s="20"/>
    </row>
    <row r="64" spans="1:34" x14ac:dyDescent="0.4">
      <c r="A64" s="8"/>
      <c r="B64" s="8"/>
      <c r="C64" s="9"/>
      <c r="D64" s="9"/>
      <c r="E64" s="18"/>
      <c r="F64" s="18"/>
      <c r="G64" s="22"/>
      <c r="H64" s="22"/>
      <c r="I64" s="22"/>
      <c r="J64" s="22"/>
      <c r="K64" s="22"/>
      <c r="L64" s="18"/>
      <c r="M64" s="18"/>
      <c r="N64" s="14"/>
      <c r="O64" s="14"/>
      <c r="P64" s="14"/>
      <c r="Q64" s="18"/>
      <c r="R64" s="22"/>
      <c r="S64" s="22"/>
      <c r="T64" s="22"/>
      <c r="U64" s="22"/>
      <c r="V64" s="22"/>
      <c r="W64" s="22"/>
      <c r="X64" s="18"/>
      <c r="Y64" s="22"/>
      <c r="Z64" s="22"/>
      <c r="AA64" s="22"/>
      <c r="AB64" s="22"/>
      <c r="AC64" s="22"/>
      <c r="AD64" s="14"/>
      <c r="AE64" s="14"/>
      <c r="AF64" s="18"/>
      <c r="AG64" s="18"/>
      <c r="AH64" s="18"/>
    </row>
    <row r="65" spans="1:34" x14ac:dyDescent="0.4">
      <c r="A65" s="3" t="s">
        <v>139</v>
      </c>
      <c r="B65" s="1" t="s">
        <v>133</v>
      </c>
      <c r="C65" s="4">
        <v>-28</v>
      </c>
      <c r="D65" s="2"/>
      <c r="E65" s="5"/>
      <c r="F65" s="5"/>
      <c r="G65" s="5"/>
      <c r="H65" s="5"/>
      <c r="I65" s="5"/>
      <c r="J65" s="5"/>
      <c r="K65" s="5"/>
      <c r="L65" s="17"/>
      <c r="M65" s="6">
        <v>55</v>
      </c>
      <c r="N65" s="13"/>
      <c r="O65" s="4">
        <v>-28</v>
      </c>
      <c r="P65" s="13"/>
      <c r="Q65" s="5"/>
      <c r="R65" s="5"/>
      <c r="S65" s="5"/>
      <c r="T65" s="5"/>
      <c r="U65" s="5"/>
      <c r="V65" s="5"/>
      <c r="W65" s="5"/>
      <c r="X65" s="4">
        <v>3</v>
      </c>
      <c r="Y65" s="17"/>
      <c r="Z65" s="5"/>
      <c r="AA65" s="5"/>
      <c r="AB65" s="5"/>
      <c r="AC65" s="5"/>
      <c r="AD65" s="13"/>
      <c r="AE65" s="13" t="s">
        <v>37</v>
      </c>
      <c r="AF65" s="7">
        <v>12</v>
      </c>
      <c r="AG65" s="7">
        <v>4.21</v>
      </c>
      <c r="AH65" s="7">
        <f>AF65/AG65</f>
        <v>2.8503562945368173</v>
      </c>
    </row>
    <row r="66" spans="1:34" x14ac:dyDescent="0.4">
      <c r="A66" s="3"/>
      <c r="C66" s="13">
        <v>-25</v>
      </c>
      <c r="D66" s="2"/>
      <c r="E66" s="5"/>
      <c r="F66" s="5"/>
      <c r="G66" s="5">
        <v>10.5</v>
      </c>
      <c r="H66" s="5">
        <v>5.55</v>
      </c>
      <c r="I66" s="5"/>
      <c r="J66" s="5"/>
      <c r="K66" s="5">
        <v>1.8918918918918919</v>
      </c>
      <c r="L66" s="17"/>
      <c r="M66" s="6">
        <v>55</v>
      </c>
      <c r="N66" s="13"/>
      <c r="O66" s="13">
        <v>-25</v>
      </c>
      <c r="P66" s="13"/>
      <c r="Q66" s="5"/>
      <c r="R66" s="5"/>
      <c r="S66" s="5">
        <v>9.6999999999999993</v>
      </c>
      <c r="T66" s="5">
        <v>7.4</v>
      </c>
      <c r="U66" s="5"/>
      <c r="V66" s="5"/>
      <c r="W66" s="5">
        <v>1.3108108108108107</v>
      </c>
      <c r="X66" s="19"/>
      <c r="Y66" s="17"/>
      <c r="Z66" s="5"/>
      <c r="AA66" s="5"/>
      <c r="AB66" s="5"/>
      <c r="AC66" s="5"/>
      <c r="AD66" s="13"/>
      <c r="AE66" s="13"/>
      <c r="AF66" s="7"/>
      <c r="AG66" s="7"/>
      <c r="AH66" s="7"/>
    </row>
    <row r="67" spans="1:34" x14ac:dyDescent="0.4">
      <c r="A67" s="46"/>
      <c r="C67" s="13">
        <v>-20</v>
      </c>
      <c r="D67" s="2"/>
      <c r="E67" s="5"/>
      <c r="F67" s="5"/>
      <c r="G67" s="5">
        <v>11.2</v>
      </c>
      <c r="H67" s="5">
        <v>4.75</v>
      </c>
      <c r="I67" s="5"/>
      <c r="J67" s="5"/>
      <c r="K67" s="5">
        <v>2.357894736842105</v>
      </c>
      <c r="L67" s="17"/>
      <c r="M67" s="6">
        <v>65</v>
      </c>
      <c r="N67" s="13"/>
      <c r="O67" s="13">
        <v>-20</v>
      </c>
      <c r="P67" s="13"/>
      <c r="Q67" s="5"/>
      <c r="R67" s="5"/>
      <c r="S67" s="5">
        <v>10.8</v>
      </c>
      <c r="T67" s="5">
        <v>6.45</v>
      </c>
      <c r="U67" s="5"/>
      <c r="V67" s="5"/>
      <c r="W67" s="5">
        <v>1.6744186046511629</v>
      </c>
      <c r="X67" s="19"/>
      <c r="Y67" s="17"/>
      <c r="Z67" s="5"/>
      <c r="AA67" s="5"/>
      <c r="AB67" s="5"/>
      <c r="AC67" s="5"/>
      <c r="AD67" s="13"/>
      <c r="AE67" s="13" t="s">
        <v>38</v>
      </c>
      <c r="AF67" s="7">
        <v>13.2</v>
      </c>
      <c r="AG67" s="7">
        <v>3.25</v>
      </c>
      <c r="AH67" s="7">
        <f>AF67/AG67</f>
        <v>4.0615384615384613</v>
      </c>
    </row>
    <row r="68" spans="1:34" x14ac:dyDescent="0.4">
      <c r="A68" s="3"/>
      <c r="C68" s="2">
        <v>-15</v>
      </c>
      <c r="D68" s="2"/>
      <c r="E68" s="5"/>
      <c r="F68" s="5"/>
      <c r="G68" s="5">
        <v>12</v>
      </c>
      <c r="H68" s="5">
        <v>4.5599999999999996</v>
      </c>
      <c r="I68" s="5"/>
      <c r="J68" s="5"/>
      <c r="K68" s="5">
        <v>2.6315789473684212</v>
      </c>
      <c r="L68" s="17"/>
      <c r="M68" s="6">
        <v>75</v>
      </c>
      <c r="N68" s="13"/>
      <c r="O68" s="13">
        <v>-15</v>
      </c>
      <c r="P68" s="13"/>
      <c r="Q68" s="5"/>
      <c r="R68" s="5"/>
      <c r="S68" s="5">
        <v>12</v>
      </c>
      <c r="T68" s="5">
        <v>6</v>
      </c>
      <c r="U68" s="5"/>
      <c r="V68" s="5"/>
      <c r="W68" s="5">
        <v>2</v>
      </c>
      <c r="X68" s="19"/>
      <c r="Y68" s="17"/>
      <c r="Z68" s="5"/>
      <c r="AA68" s="5"/>
      <c r="AB68" s="5"/>
      <c r="AC68" s="5"/>
      <c r="AD68" s="13"/>
      <c r="AE68" s="13" t="s">
        <v>40</v>
      </c>
      <c r="AF68" s="7">
        <v>12</v>
      </c>
      <c r="AG68" s="7">
        <v>2.8</v>
      </c>
      <c r="AH68" s="7">
        <f>AF68/AG68</f>
        <v>4.2857142857142856</v>
      </c>
    </row>
    <row r="69" spans="1:34" x14ac:dyDescent="0.4">
      <c r="A69" s="3"/>
      <c r="C69" s="2">
        <v>-10</v>
      </c>
      <c r="D69" s="2"/>
      <c r="E69" s="5"/>
      <c r="F69" s="5"/>
      <c r="G69" s="29" t="s">
        <v>61</v>
      </c>
      <c r="H69" s="29" t="s">
        <v>61</v>
      </c>
      <c r="I69" s="5"/>
      <c r="J69" s="5"/>
      <c r="K69" s="29" t="s">
        <v>61</v>
      </c>
      <c r="L69" s="17"/>
      <c r="M69" s="6">
        <v>75</v>
      </c>
      <c r="N69" s="13"/>
      <c r="O69" s="13">
        <v>-10</v>
      </c>
      <c r="P69" s="13"/>
      <c r="Q69" s="5"/>
      <c r="R69" s="5"/>
      <c r="S69" s="29" t="s">
        <v>61</v>
      </c>
      <c r="T69" s="29" t="s">
        <v>61</v>
      </c>
      <c r="U69" s="5"/>
      <c r="V69" s="5"/>
      <c r="W69" s="29" t="s">
        <v>61</v>
      </c>
      <c r="X69" s="19"/>
      <c r="Y69" s="17" t="s">
        <v>39</v>
      </c>
      <c r="Z69" s="5">
        <v>12</v>
      </c>
      <c r="AA69" s="5">
        <v>2.91</v>
      </c>
      <c r="AB69" s="5">
        <v>12</v>
      </c>
      <c r="AC69" s="5">
        <v>2.12</v>
      </c>
      <c r="AD69" s="13"/>
    </row>
    <row r="70" spans="1:34" x14ac:dyDescent="0.4">
      <c r="A70" s="3"/>
      <c r="C70" s="2">
        <v>-7</v>
      </c>
      <c r="D70" s="2"/>
      <c r="E70" s="5"/>
      <c r="F70" s="5"/>
      <c r="G70" s="5">
        <v>12</v>
      </c>
      <c r="H70" s="5">
        <v>4</v>
      </c>
      <c r="I70" s="5"/>
      <c r="J70" s="5"/>
      <c r="K70" s="5">
        <v>3</v>
      </c>
      <c r="L70" s="17"/>
      <c r="M70" s="6">
        <v>75</v>
      </c>
      <c r="N70" s="13"/>
      <c r="O70" s="13">
        <v>-7</v>
      </c>
      <c r="P70" s="13"/>
      <c r="Q70" s="5"/>
      <c r="R70" s="5"/>
      <c r="S70" s="5">
        <v>12</v>
      </c>
      <c r="T70" s="5">
        <v>5.53</v>
      </c>
      <c r="U70" s="5"/>
      <c r="V70" s="5"/>
      <c r="W70" s="5">
        <v>2.1699819168173597</v>
      </c>
      <c r="X70" s="19"/>
      <c r="Y70" s="5">
        <f>AA70*(1.029-(0.05*Z70/G72))</f>
        <v>2.7476849999999997</v>
      </c>
      <c r="Z70" s="5">
        <v>10.6</v>
      </c>
      <c r="AA70" s="5">
        <v>2.79</v>
      </c>
      <c r="AB70" s="5">
        <v>10.6</v>
      </c>
      <c r="AC70" s="5">
        <v>2.2200000000000002</v>
      </c>
      <c r="AD70" s="13"/>
      <c r="AE70" s="13"/>
      <c r="AF70" s="19"/>
      <c r="AG70" s="19"/>
      <c r="AH70" s="20"/>
    </row>
    <row r="71" spans="1:34" x14ac:dyDescent="0.4">
      <c r="A71" s="3"/>
      <c r="C71" s="2">
        <v>2</v>
      </c>
      <c r="D71" s="2"/>
      <c r="E71" s="5"/>
      <c r="F71" s="5"/>
      <c r="G71" s="5">
        <v>12</v>
      </c>
      <c r="H71" s="5">
        <v>3.39</v>
      </c>
      <c r="I71" s="5"/>
      <c r="J71" s="5"/>
      <c r="K71" s="5">
        <v>3.5398230088495577</v>
      </c>
      <c r="L71" s="17"/>
      <c r="M71" s="6">
        <v>75</v>
      </c>
      <c r="N71" s="13"/>
      <c r="O71" s="13">
        <v>2</v>
      </c>
      <c r="P71" s="13"/>
      <c r="Q71" s="5"/>
      <c r="R71" s="5"/>
      <c r="S71" s="5">
        <v>12</v>
      </c>
      <c r="T71" s="5">
        <v>4.95</v>
      </c>
      <c r="U71" s="5"/>
      <c r="V71" s="5"/>
      <c r="W71" s="5">
        <v>2.4242424242424243</v>
      </c>
      <c r="X71" s="19"/>
      <c r="Y71" s="5">
        <f>AA71*(0.906-(0.044*Z71/G72))</f>
        <v>4.1020750000000001</v>
      </c>
      <c r="Z71" s="5">
        <v>6.5</v>
      </c>
      <c r="AA71" s="5">
        <v>4.6500000000000004</v>
      </c>
      <c r="AB71" s="5">
        <v>6.5</v>
      </c>
      <c r="AC71" s="5">
        <v>3.65</v>
      </c>
      <c r="AD71" s="13"/>
      <c r="AE71" s="13"/>
      <c r="AF71" s="19"/>
      <c r="AG71" s="19"/>
      <c r="AH71" s="20"/>
    </row>
    <row r="72" spans="1:34" x14ac:dyDescent="0.4">
      <c r="A72" s="3"/>
      <c r="C72" s="2">
        <v>7</v>
      </c>
      <c r="D72" s="2"/>
      <c r="E72" s="5"/>
      <c r="F72" s="5"/>
      <c r="G72" s="5">
        <v>12</v>
      </c>
      <c r="H72" s="5">
        <v>2.37</v>
      </c>
      <c r="I72" s="5"/>
      <c r="J72" s="5"/>
      <c r="K72" s="5">
        <v>5.0632911392405067</v>
      </c>
      <c r="L72" s="17"/>
      <c r="M72" s="6">
        <v>75</v>
      </c>
      <c r="N72" s="13"/>
      <c r="O72" s="13">
        <v>7</v>
      </c>
      <c r="P72" s="13"/>
      <c r="Q72" s="5"/>
      <c r="R72" s="5"/>
      <c r="S72" s="5">
        <v>12</v>
      </c>
      <c r="T72" s="5">
        <v>3.71</v>
      </c>
      <c r="U72" s="5"/>
      <c r="V72" s="5"/>
      <c r="W72" s="5">
        <v>3.2345013477088949</v>
      </c>
      <c r="X72" s="19"/>
      <c r="Y72" s="5">
        <f>K72</f>
        <v>5.0632911392405067</v>
      </c>
      <c r="Z72" s="5">
        <v>5.3</v>
      </c>
      <c r="AA72" s="5">
        <v>6.25</v>
      </c>
      <c r="AB72" s="5">
        <v>4.9000000000000004</v>
      </c>
      <c r="AC72" s="5">
        <v>4.57</v>
      </c>
      <c r="AD72" s="13"/>
      <c r="AE72" s="13"/>
      <c r="AF72" s="19"/>
      <c r="AG72" s="19"/>
      <c r="AH72" s="20"/>
    </row>
    <row r="73" spans="1:34" x14ac:dyDescent="0.4">
      <c r="A73" s="3"/>
      <c r="C73" s="2">
        <v>12</v>
      </c>
      <c r="D73" s="2"/>
      <c r="E73" s="5"/>
      <c r="F73" s="5"/>
      <c r="G73" s="29" t="s">
        <v>61</v>
      </c>
      <c r="H73" s="29" t="s">
        <v>61</v>
      </c>
      <c r="I73" s="5"/>
      <c r="J73" s="5"/>
      <c r="K73" s="29" t="s">
        <v>61</v>
      </c>
      <c r="L73" s="17"/>
      <c r="M73" s="6">
        <v>75</v>
      </c>
      <c r="N73" s="13"/>
      <c r="O73" s="13">
        <v>12</v>
      </c>
      <c r="P73" s="13"/>
      <c r="Q73" s="5"/>
      <c r="R73" s="5"/>
      <c r="S73" s="29" t="s">
        <v>61</v>
      </c>
      <c r="T73" s="29" t="s">
        <v>61</v>
      </c>
      <c r="U73" s="5"/>
      <c r="V73" s="5"/>
      <c r="W73" s="29" t="s">
        <v>61</v>
      </c>
      <c r="X73" s="19"/>
      <c r="Y73" s="17"/>
      <c r="Z73" s="5">
        <v>6.1</v>
      </c>
      <c r="AA73" s="5">
        <v>7.78</v>
      </c>
      <c r="AB73" s="5">
        <v>5.7</v>
      </c>
      <c r="AC73" s="5">
        <v>5.84</v>
      </c>
      <c r="AD73" s="13"/>
      <c r="AE73" s="13"/>
      <c r="AF73" s="19"/>
      <c r="AG73" s="19"/>
      <c r="AH73" s="20"/>
    </row>
    <row r="74" spans="1:34" x14ac:dyDescent="0.4">
      <c r="A74" s="8"/>
      <c r="B74" s="8"/>
      <c r="C74" s="9"/>
      <c r="D74" s="9"/>
      <c r="E74" s="18"/>
      <c r="F74" s="18"/>
      <c r="G74" s="38"/>
      <c r="H74" s="37"/>
      <c r="I74" s="22"/>
      <c r="J74" s="22"/>
      <c r="K74" s="37"/>
      <c r="L74" s="18"/>
      <c r="M74" s="14"/>
      <c r="N74" s="14"/>
      <c r="O74" s="14"/>
      <c r="P74" s="14"/>
      <c r="Q74" s="18"/>
      <c r="R74" s="22"/>
      <c r="S74" s="22"/>
      <c r="T74" s="22"/>
      <c r="U74" s="22"/>
      <c r="V74" s="22"/>
      <c r="W74" s="22"/>
      <c r="X74" s="14"/>
      <c r="Y74" s="22"/>
      <c r="Z74" s="22"/>
      <c r="AA74" s="22"/>
      <c r="AB74" s="22"/>
      <c r="AC74" s="22"/>
      <c r="AD74" s="14"/>
      <c r="AE74" s="14"/>
      <c r="AF74" s="14"/>
      <c r="AG74" s="14"/>
      <c r="AH74" s="14"/>
    </row>
    <row r="75" spans="1:34" x14ac:dyDescent="0.4">
      <c r="A75" s="3" t="s">
        <v>142</v>
      </c>
      <c r="B75" s="1" t="s">
        <v>133</v>
      </c>
      <c r="C75" s="4">
        <v>-28</v>
      </c>
      <c r="D75" s="2"/>
      <c r="E75" s="5"/>
      <c r="F75" s="5"/>
      <c r="G75" s="5"/>
      <c r="H75" s="5"/>
      <c r="I75" s="5"/>
      <c r="J75" s="5"/>
      <c r="K75" s="5"/>
      <c r="L75" s="17"/>
      <c r="M75" s="6">
        <v>55</v>
      </c>
      <c r="N75" s="13"/>
      <c r="O75" s="4">
        <v>-28</v>
      </c>
      <c r="P75" s="13"/>
      <c r="Q75" s="5"/>
      <c r="R75" s="5"/>
      <c r="S75" s="5"/>
      <c r="T75" s="5"/>
      <c r="U75" s="5"/>
      <c r="V75" s="5"/>
      <c r="W75" s="5"/>
      <c r="X75" s="4">
        <v>3</v>
      </c>
      <c r="Y75" s="17"/>
      <c r="Z75" s="5"/>
      <c r="AA75" s="5"/>
      <c r="AB75" s="5"/>
      <c r="AC75" s="5"/>
      <c r="AD75" s="13"/>
      <c r="AE75" s="13" t="s">
        <v>37</v>
      </c>
      <c r="AF75" s="7">
        <v>12</v>
      </c>
      <c r="AG75" s="7">
        <v>4.21</v>
      </c>
      <c r="AH75" s="7">
        <f>AF75/AG75</f>
        <v>2.8503562945368173</v>
      </c>
    </row>
    <row r="76" spans="1:34" x14ac:dyDescent="0.4">
      <c r="A76" s="3"/>
      <c r="C76" s="13">
        <v>-25</v>
      </c>
      <c r="D76" s="2"/>
      <c r="E76" s="5"/>
      <c r="F76" s="5"/>
      <c r="G76" s="5">
        <v>10.5</v>
      </c>
      <c r="H76" s="5">
        <v>5.55</v>
      </c>
      <c r="I76" s="5"/>
      <c r="J76" s="5"/>
      <c r="K76" s="5">
        <v>1.8918918918918919</v>
      </c>
      <c r="L76" s="17"/>
      <c r="M76" s="6">
        <v>55</v>
      </c>
      <c r="N76" s="13"/>
      <c r="O76" s="13">
        <v>-25</v>
      </c>
      <c r="P76" s="13"/>
      <c r="Q76" s="5"/>
      <c r="R76" s="5"/>
      <c r="S76" s="5">
        <v>9.6999999999999993</v>
      </c>
      <c r="T76" s="5">
        <v>7.4</v>
      </c>
      <c r="U76" s="5"/>
      <c r="V76" s="5"/>
      <c r="W76" s="5">
        <v>1.3108108108108107</v>
      </c>
      <c r="X76" s="19"/>
      <c r="Y76" s="17"/>
      <c r="Z76" s="5"/>
      <c r="AA76" s="5"/>
      <c r="AB76" s="5"/>
      <c r="AC76" s="5"/>
      <c r="AD76" s="13"/>
      <c r="AE76" s="13"/>
      <c r="AF76" s="7"/>
      <c r="AG76" s="7"/>
      <c r="AH76" s="7"/>
    </row>
    <row r="77" spans="1:34" x14ac:dyDescent="0.4">
      <c r="A77" s="46"/>
      <c r="C77" s="13">
        <v>-20</v>
      </c>
      <c r="D77" s="2"/>
      <c r="E77" s="5"/>
      <c r="F77" s="5"/>
      <c r="G77" s="5">
        <v>11.2</v>
      </c>
      <c r="H77" s="5">
        <v>4.75</v>
      </c>
      <c r="I77" s="5"/>
      <c r="J77" s="5"/>
      <c r="K77" s="5">
        <v>2.357894736842105</v>
      </c>
      <c r="L77" s="17"/>
      <c r="M77" s="6">
        <v>65</v>
      </c>
      <c r="N77" s="13"/>
      <c r="O77" s="13">
        <v>-20</v>
      </c>
      <c r="P77" s="13"/>
      <c r="Q77" s="5"/>
      <c r="R77" s="5"/>
      <c r="S77" s="5">
        <v>10.8</v>
      </c>
      <c r="T77" s="5">
        <v>6.45</v>
      </c>
      <c r="U77" s="5"/>
      <c r="V77" s="5"/>
      <c r="W77" s="5">
        <v>1.6744186046511629</v>
      </c>
      <c r="X77" s="19"/>
      <c r="Y77" s="17"/>
      <c r="Z77" s="5"/>
      <c r="AA77" s="5"/>
      <c r="AB77" s="5"/>
      <c r="AC77" s="5"/>
      <c r="AD77" s="13"/>
      <c r="AE77" s="13" t="s">
        <v>38</v>
      </c>
      <c r="AF77" s="7">
        <v>13.2</v>
      </c>
      <c r="AG77" s="7">
        <v>3.25</v>
      </c>
      <c r="AH77" s="7">
        <f>AF77/AG77</f>
        <v>4.0615384615384613</v>
      </c>
    </row>
    <row r="78" spans="1:34" x14ac:dyDescent="0.4">
      <c r="A78" s="3"/>
      <c r="C78" s="2">
        <v>-15</v>
      </c>
      <c r="D78" s="2"/>
      <c r="E78" s="5"/>
      <c r="F78" s="5"/>
      <c r="G78" s="5">
        <v>12</v>
      </c>
      <c r="H78" s="5">
        <v>4.5599999999999996</v>
      </c>
      <c r="I78" s="5"/>
      <c r="J78" s="5"/>
      <c r="K78" s="5">
        <v>2.6315789473684212</v>
      </c>
      <c r="L78" s="17"/>
      <c r="M78" s="6">
        <v>75</v>
      </c>
      <c r="N78" s="13"/>
      <c r="O78" s="13">
        <v>-15</v>
      </c>
      <c r="P78" s="13"/>
      <c r="Q78" s="5"/>
      <c r="R78" s="5"/>
      <c r="S78" s="5">
        <v>12</v>
      </c>
      <c r="T78" s="5">
        <v>6</v>
      </c>
      <c r="U78" s="5"/>
      <c r="V78" s="5"/>
      <c r="W78" s="5">
        <v>2</v>
      </c>
      <c r="X78" s="19"/>
      <c r="Y78" s="17"/>
      <c r="Z78" s="5"/>
      <c r="AA78" s="5"/>
      <c r="AB78" s="5"/>
      <c r="AC78" s="5"/>
      <c r="AD78" s="13"/>
      <c r="AE78" s="13" t="s">
        <v>40</v>
      </c>
      <c r="AF78" s="7">
        <v>12</v>
      </c>
      <c r="AG78" s="7">
        <v>2.8</v>
      </c>
      <c r="AH78" s="7">
        <f>AF78/AG78</f>
        <v>4.2857142857142856</v>
      </c>
    </row>
    <row r="79" spans="1:34" x14ac:dyDescent="0.4">
      <c r="A79" s="3"/>
      <c r="C79" s="2">
        <v>-10</v>
      </c>
      <c r="D79" s="2"/>
      <c r="E79" s="5"/>
      <c r="F79" s="5"/>
      <c r="G79" s="29" t="s">
        <v>61</v>
      </c>
      <c r="H79" s="29" t="s">
        <v>61</v>
      </c>
      <c r="I79" s="5"/>
      <c r="J79" s="5"/>
      <c r="K79" s="29" t="s">
        <v>61</v>
      </c>
      <c r="L79" s="17"/>
      <c r="M79" s="6">
        <v>75</v>
      </c>
      <c r="N79" s="13"/>
      <c r="O79" s="13">
        <v>-10</v>
      </c>
      <c r="P79" s="13"/>
      <c r="Q79" s="5"/>
      <c r="R79" s="5"/>
      <c r="S79" s="29" t="s">
        <v>61</v>
      </c>
      <c r="T79" s="29" t="s">
        <v>61</v>
      </c>
      <c r="U79" s="5"/>
      <c r="V79" s="5"/>
      <c r="W79" s="29" t="s">
        <v>61</v>
      </c>
      <c r="X79" s="19"/>
      <c r="Y79" s="17" t="s">
        <v>39</v>
      </c>
      <c r="Z79" s="5">
        <v>12</v>
      </c>
      <c r="AA79" s="5">
        <v>2.91</v>
      </c>
      <c r="AB79" s="5">
        <v>12</v>
      </c>
      <c r="AC79" s="5">
        <v>2.12</v>
      </c>
      <c r="AD79" s="13"/>
    </row>
    <row r="80" spans="1:34" x14ac:dyDescent="0.4">
      <c r="A80" s="3"/>
      <c r="C80" s="2">
        <v>-7</v>
      </c>
      <c r="D80" s="2"/>
      <c r="E80" s="5"/>
      <c r="F80" s="5"/>
      <c r="G80" s="5">
        <v>12</v>
      </c>
      <c r="H80" s="5">
        <v>4</v>
      </c>
      <c r="I80" s="5"/>
      <c r="J80" s="5"/>
      <c r="K80" s="5">
        <v>3</v>
      </c>
      <c r="L80" s="17"/>
      <c r="M80" s="6">
        <v>75</v>
      </c>
      <c r="N80" s="13"/>
      <c r="O80" s="13">
        <v>-7</v>
      </c>
      <c r="P80" s="13"/>
      <c r="Q80" s="5"/>
      <c r="R80" s="5"/>
      <c r="S80" s="5">
        <v>12</v>
      </c>
      <c r="T80" s="5">
        <v>5.53</v>
      </c>
      <c r="U80" s="5"/>
      <c r="V80" s="5"/>
      <c r="W80" s="5">
        <v>2.1699819168173597</v>
      </c>
      <c r="X80" s="19"/>
      <c r="Y80" s="5">
        <f>AA80*(1.029-(0.05*Z80/G82))</f>
        <v>2.7476849999999997</v>
      </c>
      <c r="Z80" s="5">
        <v>10.6</v>
      </c>
      <c r="AA80" s="5">
        <v>2.79</v>
      </c>
      <c r="AB80" s="5">
        <v>10.6</v>
      </c>
      <c r="AC80" s="5">
        <v>2.2200000000000002</v>
      </c>
      <c r="AD80" s="13"/>
      <c r="AE80" s="13"/>
      <c r="AF80" s="19"/>
      <c r="AG80" s="19"/>
      <c r="AH80" s="20"/>
    </row>
    <row r="81" spans="1:34" x14ac:dyDescent="0.4">
      <c r="A81" s="3"/>
      <c r="C81" s="2">
        <v>2</v>
      </c>
      <c r="D81" s="2"/>
      <c r="E81" s="5"/>
      <c r="F81" s="5"/>
      <c r="G81" s="5">
        <v>12</v>
      </c>
      <c r="H81" s="5">
        <v>3.39</v>
      </c>
      <c r="I81" s="5"/>
      <c r="J81" s="5"/>
      <c r="K81" s="5">
        <v>3.5398230088495577</v>
      </c>
      <c r="L81" s="17"/>
      <c r="M81" s="6">
        <v>75</v>
      </c>
      <c r="N81" s="13"/>
      <c r="O81" s="13">
        <v>2</v>
      </c>
      <c r="P81" s="13"/>
      <c r="Q81" s="5"/>
      <c r="R81" s="5"/>
      <c r="S81" s="5">
        <v>12</v>
      </c>
      <c r="T81" s="5">
        <v>4.95</v>
      </c>
      <c r="U81" s="5"/>
      <c r="V81" s="5"/>
      <c r="W81" s="5">
        <v>2.4242424242424243</v>
      </c>
      <c r="X81" s="19"/>
      <c r="Y81" s="5">
        <f>AA81*(0.906-(0.044*Z81/G82))</f>
        <v>4.1020750000000001</v>
      </c>
      <c r="Z81" s="5">
        <v>6.5</v>
      </c>
      <c r="AA81" s="5">
        <v>4.6500000000000004</v>
      </c>
      <c r="AB81" s="5">
        <v>6.5</v>
      </c>
      <c r="AC81" s="5">
        <v>3.65</v>
      </c>
      <c r="AD81" s="13"/>
      <c r="AE81" s="13"/>
      <c r="AF81" s="19"/>
      <c r="AG81" s="19"/>
      <c r="AH81" s="20"/>
    </row>
    <row r="82" spans="1:34" x14ac:dyDescent="0.4">
      <c r="A82" s="3"/>
      <c r="C82" s="2">
        <v>7</v>
      </c>
      <c r="D82" s="2"/>
      <c r="E82" s="5"/>
      <c r="F82" s="5"/>
      <c r="G82" s="5">
        <v>12</v>
      </c>
      <c r="H82" s="5">
        <v>2.37</v>
      </c>
      <c r="I82" s="5"/>
      <c r="J82" s="5"/>
      <c r="K82" s="5">
        <v>5.0632911392405067</v>
      </c>
      <c r="L82" s="17"/>
      <c r="M82" s="6">
        <v>75</v>
      </c>
      <c r="N82" s="13"/>
      <c r="O82" s="13">
        <v>7</v>
      </c>
      <c r="P82" s="13"/>
      <c r="Q82" s="5"/>
      <c r="R82" s="5"/>
      <c r="S82" s="5">
        <v>12</v>
      </c>
      <c r="T82" s="5">
        <v>3.71</v>
      </c>
      <c r="U82" s="5"/>
      <c r="V82" s="5"/>
      <c r="W82" s="5">
        <v>3.2345013477088949</v>
      </c>
      <c r="X82" s="19"/>
      <c r="Y82" s="5">
        <f>K82</f>
        <v>5.0632911392405067</v>
      </c>
      <c r="Z82" s="5">
        <v>5.3</v>
      </c>
      <c r="AA82" s="5">
        <v>6.25</v>
      </c>
      <c r="AB82" s="5">
        <v>4.9000000000000004</v>
      </c>
      <c r="AC82" s="5">
        <v>4.57</v>
      </c>
      <c r="AD82" s="13"/>
      <c r="AE82" s="13"/>
      <c r="AF82" s="19"/>
      <c r="AG82" s="19"/>
      <c r="AH82" s="20"/>
    </row>
    <row r="83" spans="1:34" x14ac:dyDescent="0.4">
      <c r="A83" s="3"/>
      <c r="C83" s="2">
        <v>12</v>
      </c>
      <c r="D83" s="2"/>
      <c r="E83" s="5"/>
      <c r="F83" s="5"/>
      <c r="G83" s="29" t="s">
        <v>61</v>
      </c>
      <c r="H83" s="29" t="s">
        <v>61</v>
      </c>
      <c r="I83" s="5"/>
      <c r="J83" s="5"/>
      <c r="K83" s="29" t="s">
        <v>61</v>
      </c>
      <c r="L83" s="17"/>
      <c r="M83" s="6">
        <v>75</v>
      </c>
      <c r="N83" s="13"/>
      <c r="O83" s="13">
        <v>12</v>
      </c>
      <c r="P83" s="13"/>
      <c r="Q83" s="5"/>
      <c r="R83" s="5"/>
      <c r="S83" s="29" t="s">
        <v>61</v>
      </c>
      <c r="T83" s="29" t="s">
        <v>61</v>
      </c>
      <c r="U83" s="5"/>
      <c r="V83" s="5"/>
      <c r="W83" s="29" t="s">
        <v>61</v>
      </c>
      <c r="X83" s="19"/>
      <c r="Y83" s="17"/>
      <c r="Z83" s="5">
        <v>6.1</v>
      </c>
      <c r="AA83" s="5">
        <v>7.78</v>
      </c>
      <c r="AB83" s="5">
        <v>5.7</v>
      </c>
      <c r="AC83" s="5">
        <v>5.84</v>
      </c>
      <c r="AD83" s="13"/>
      <c r="AE83" s="13"/>
      <c r="AF83" s="19"/>
      <c r="AG83" s="19"/>
      <c r="AH83" s="20"/>
    </row>
    <row r="84" spans="1:34" x14ac:dyDescent="0.4">
      <c r="A84" s="8"/>
      <c r="B84" s="8"/>
      <c r="C84" s="9"/>
      <c r="D84" s="9"/>
      <c r="E84" s="18"/>
      <c r="F84" s="18"/>
      <c r="G84" s="38"/>
      <c r="H84" s="37"/>
      <c r="I84" s="22"/>
      <c r="J84" s="22"/>
      <c r="K84" s="37"/>
      <c r="L84" s="18"/>
      <c r="M84" s="14"/>
      <c r="N84" s="14"/>
      <c r="O84" s="14"/>
      <c r="P84" s="14"/>
      <c r="Q84" s="18"/>
      <c r="R84" s="22"/>
      <c r="S84" s="22"/>
      <c r="T84" s="22"/>
      <c r="U84" s="22"/>
      <c r="V84" s="22"/>
      <c r="W84" s="22"/>
      <c r="X84" s="14"/>
      <c r="Y84" s="22"/>
      <c r="Z84" s="22"/>
      <c r="AA84" s="22"/>
      <c r="AB84" s="22"/>
      <c r="AC84" s="22"/>
      <c r="AD84" s="14"/>
      <c r="AE84" s="14"/>
      <c r="AF84" s="14"/>
      <c r="AG84" s="14"/>
      <c r="AH84" s="14"/>
    </row>
    <row r="85" spans="1:34" s="1" customFormat="1" x14ac:dyDescent="0.4">
      <c r="A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s="15"/>
      <c r="AG85" s="15"/>
      <c r="AH85" s="15"/>
    </row>
    <row r="86" spans="1:34" x14ac:dyDescent="0.4">
      <c r="A86" s="47" t="s">
        <v>143</v>
      </c>
    </row>
    <row r="88" spans="1:34" x14ac:dyDescent="0.4">
      <c r="A88" s="3" t="s">
        <v>138</v>
      </c>
      <c r="B88" s="1" t="s">
        <v>132</v>
      </c>
    </row>
    <row r="89" spans="1:34" x14ac:dyDescent="0.4">
      <c r="A89" s="3" t="s">
        <v>139</v>
      </c>
      <c r="B89" s="1" t="s">
        <v>132</v>
      </c>
    </row>
    <row r="90" spans="1:34" x14ac:dyDescent="0.4">
      <c r="A90" s="3" t="s">
        <v>142</v>
      </c>
      <c r="B90" s="1" t="s">
        <v>132</v>
      </c>
    </row>
    <row r="91" spans="1:34" x14ac:dyDescent="0.4">
      <c r="A91"/>
    </row>
    <row r="92" spans="1:34" x14ac:dyDescent="0.4">
      <c r="A92" s="3" t="s">
        <v>138</v>
      </c>
      <c r="B92" s="1" t="s">
        <v>133</v>
      </c>
    </row>
    <row r="93" spans="1:34" x14ac:dyDescent="0.4">
      <c r="A93" s="3" t="s">
        <v>139</v>
      </c>
      <c r="B93" s="1" t="s">
        <v>133</v>
      </c>
    </row>
    <row r="94" spans="1:34" x14ac:dyDescent="0.4">
      <c r="A94" s="3" t="s">
        <v>142</v>
      </c>
      <c r="B94" s="1" t="s">
        <v>133</v>
      </c>
    </row>
    <row r="95" spans="1:34" x14ac:dyDescent="0.4">
      <c r="A9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1364-0F0B-4638-88F9-D76C9AD7235B}">
  <sheetPr>
    <tabColor rgb="FFFFC000"/>
  </sheetPr>
  <dimension ref="A1:AJ3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G5" sqref="AG5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6" x14ac:dyDescent="0.4">
      <c r="C1" s="1" t="s">
        <v>17</v>
      </c>
    </row>
    <row r="2" spans="1:36" x14ac:dyDescent="0.4">
      <c r="C2" s="1" t="s">
        <v>18</v>
      </c>
      <c r="O2" s="1" t="s">
        <v>19</v>
      </c>
      <c r="AF2" s="1"/>
    </row>
    <row r="3" spans="1:36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6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6" x14ac:dyDescent="0.4">
      <c r="A5" s="3" t="s">
        <v>140</v>
      </c>
      <c r="B5" s="1" t="s">
        <v>132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36"/>
      <c r="M5" s="6">
        <v>55</v>
      </c>
      <c r="N5" s="34"/>
      <c r="O5" s="4">
        <v>-28</v>
      </c>
      <c r="P5" s="34"/>
      <c r="Q5" s="5"/>
      <c r="R5" s="5"/>
      <c r="S5" s="5"/>
      <c r="T5" s="5"/>
      <c r="U5" s="5"/>
      <c r="V5" s="5"/>
      <c r="W5" s="5"/>
      <c r="X5" s="4">
        <v>3</v>
      </c>
      <c r="Y5" s="36"/>
      <c r="Z5" s="24"/>
      <c r="AA5" s="24"/>
      <c r="AB5" s="24"/>
      <c r="AC5" s="24"/>
      <c r="AD5" s="34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  <c r="AI5" s="33"/>
      <c r="AJ5" s="33"/>
    </row>
    <row r="6" spans="1:36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36"/>
      <c r="M6" s="6">
        <v>55</v>
      </c>
      <c r="N6" s="34"/>
      <c r="O6" s="13">
        <v>-25</v>
      </c>
      <c r="P6" s="34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36"/>
      <c r="Z6" s="24"/>
      <c r="AA6" s="24"/>
      <c r="AB6" s="24"/>
      <c r="AC6" s="24"/>
      <c r="AD6" s="34"/>
      <c r="AE6" s="13"/>
      <c r="AF6" s="7"/>
      <c r="AG6" s="7"/>
      <c r="AH6" s="7"/>
      <c r="AI6" s="33"/>
      <c r="AJ6" s="33"/>
    </row>
    <row r="7" spans="1:36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36"/>
      <c r="M7" s="6">
        <v>65</v>
      </c>
      <c r="N7" s="34"/>
      <c r="O7" s="13">
        <v>-20</v>
      </c>
      <c r="P7" s="34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9"/>
      <c r="Y7" s="54"/>
      <c r="Z7" s="55"/>
      <c r="AA7" s="55"/>
      <c r="AB7" s="55"/>
      <c r="AC7" s="55"/>
      <c r="AD7" s="34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  <c r="AI7" s="33"/>
      <c r="AJ7" s="33"/>
    </row>
    <row r="8" spans="1:36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36"/>
      <c r="M8" s="6">
        <v>75</v>
      </c>
      <c r="N8" s="34"/>
      <c r="O8" s="13">
        <v>-15</v>
      </c>
      <c r="P8" s="34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9"/>
      <c r="Y8" s="54"/>
      <c r="Z8" s="55"/>
      <c r="AA8" s="55"/>
      <c r="AB8" s="5"/>
      <c r="AC8" s="5"/>
      <c r="AD8" s="34"/>
      <c r="AE8" s="13" t="s">
        <v>40</v>
      </c>
      <c r="AF8" s="7">
        <v>9</v>
      </c>
      <c r="AG8" s="7">
        <v>1.71</v>
      </c>
      <c r="AH8" s="7">
        <f>AF8/AG8</f>
        <v>5.2631578947368425</v>
      </c>
      <c r="AI8" s="33"/>
      <c r="AJ8" s="33"/>
    </row>
    <row r="9" spans="1:36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36"/>
      <c r="M9" s="6">
        <v>75</v>
      </c>
      <c r="N9" s="34"/>
      <c r="O9" s="13">
        <v>-10</v>
      </c>
      <c r="P9" s="34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9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34"/>
      <c r="AE9" s="15"/>
      <c r="AF9" s="33"/>
      <c r="AG9" s="33"/>
      <c r="AH9" s="33"/>
      <c r="AI9" s="33"/>
      <c r="AJ9" s="33"/>
    </row>
    <row r="10" spans="1:36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36"/>
      <c r="M10" s="6">
        <v>75</v>
      </c>
      <c r="N10" s="34"/>
      <c r="O10" s="13">
        <v>-7</v>
      </c>
      <c r="P10" s="34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9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34"/>
      <c r="AE10" s="13"/>
      <c r="AF10" s="34"/>
      <c r="AG10" s="34"/>
      <c r="AH10" s="33"/>
      <c r="AI10" s="33"/>
      <c r="AJ10" s="33"/>
    </row>
    <row r="11" spans="1:36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36"/>
      <c r="M11" s="6">
        <v>75</v>
      </c>
      <c r="N11" s="34"/>
      <c r="O11" s="13">
        <v>2</v>
      </c>
      <c r="P11" s="34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9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34"/>
      <c r="AE11" s="13"/>
      <c r="AF11" s="34"/>
      <c r="AG11" s="34"/>
      <c r="AH11" s="33"/>
      <c r="AI11" s="33"/>
      <c r="AJ11" s="33"/>
    </row>
    <row r="12" spans="1:36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36"/>
      <c r="M12" s="6">
        <v>75</v>
      </c>
      <c r="N12" s="34"/>
      <c r="O12" s="13">
        <v>7</v>
      </c>
      <c r="P12" s="34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9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34"/>
      <c r="AE12" s="13"/>
      <c r="AF12" s="34"/>
      <c r="AG12" s="34"/>
      <c r="AH12" s="33"/>
      <c r="AI12" s="33"/>
      <c r="AJ12" s="33"/>
    </row>
    <row r="13" spans="1:36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36"/>
      <c r="M13" s="6">
        <v>75</v>
      </c>
      <c r="N13" s="34"/>
      <c r="O13" s="13">
        <v>12</v>
      </c>
      <c r="P13" s="34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9"/>
      <c r="Y13" s="17"/>
      <c r="Z13" s="5">
        <v>5.7</v>
      </c>
      <c r="AA13" s="5">
        <v>7.8</v>
      </c>
      <c r="AB13" s="5">
        <v>5.6</v>
      </c>
      <c r="AC13" s="5">
        <v>5.78</v>
      </c>
      <c r="AD13" s="34"/>
      <c r="AE13" s="13"/>
      <c r="AF13" s="34"/>
      <c r="AG13" s="34"/>
      <c r="AH13" s="33"/>
      <c r="AI13" s="33"/>
      <c r="AJ13" s="33"/>
    </row>
    <row r="14" spans="1:36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18"/>
      <c r="N14" s="30"/>
      <c r="O14" s="14"/>
      <c r="P14" s="30"/>
      <c r="Q14" s="30"/>
      <c r="R14" s="31"/>
      <c r="S14" s="31"/>
      <c r="T14" s="31"/>
      <c r="U14" s="31"/>
      <c r="V14" s="31"/>
      <c r="W14" s="31"/>
      <c r="X14" s="18"/>
      <c r="Y14" s="22"/>
      <c r="Z14" s="56"/>
      <c r="AA14" s="56"/>
      <c r="AB14" s="56"/>
      <c r="AC14" s="56"/>
      <c r="AD14" s="30"/>
      <c r="AE14" s="14"/>
      <c r="AF14" s="30"/>
      <c r="AG14" s="30"/>
      <c r="AH14" s="30"/>
      <c r="AI14" s="33"/>
      <c r="AJ14" s="33"/>
    </row>
    <row r="15" spans="1:36" x14ac:dyDescent="0.4">
      <c r="A15" s="3" t="s">
        <v>140</v>
      </c>
      <c r="B15" s="1" t="s">
        <v>133</v>
      </c>
      <c r="C15" s="4">
        <v>-28</v>
      </c>
      <c r="D15" s="2"/>
      <c r="E15" s="24"/>
      <c r="F15" s="5"/>
      <c r="G15" s="5"/>
      <c r="H15" s="5"/>
      <c r="I15" s="5"/>
      <c r="J15" s="5"/>
      <c r="K15" s="5"/>
      <c r="L15" s="36"/>
      <c r="M15" s="6">
        <v>55</v>
      </c>
      <c r="N15" s="34"/>
      <c r="O15" s="48">
        <v>-28</v>
      </c>
      <c r="P15" s="34"/>
      <c r="Q15" s="24"/>
      <c r="R15" s="5"/>
      <c r="S15" s="5"/>
      <c r="T15" s="5"/>
      <c r="U15" s="5"/>
      <c r="V15" s="5"/>
      <c r="W15" s="5"/>
      <c r="X15" s="4">
        <v>3</v>
      </c>
      <c r="Y15" s="17"/>
      <c r="Z15" s="55"/>
      <c r="AA15" s="55"/>
      <c r="AB15" s="55"/>
      <c r="AC15" s="55"/>
      <c r="AD15" s="34"/>
      <c r="AE15" s="13" t="s">
        <v>37</v>
      </c>
      <c r="AF15" s="7">
        <v>12</v>
      </c>
      <c r="AG15" s="7">
        <v>4.21</v>
      </c>
      <c r="AH15" s="7">
        <f>AF15/AG15</f>
        <v>2.8503562945368173</v>
      </c>
      <c r="AI15" s="33"/>
      <c r="AJ15" s="33"/>
    </row>
    <row r="16" spans="1:36" x14ac:dyDescent="0.4">
      <c r="A16" s="3"/>
      <c r="C16" s="13">
        <v>-25</v>
      </c>
      <c r="D16" s="2"/>
      <c r="E16" s="24"/>
      <c r="F16" s="5"/>
      <c r="G16" s="5">
        <v>10.5</v>
      </c>
      <c r="H16" s="5">
        <v>5.55</v>
      </c>
      <c r="I16" s="5"/>
      <c r="J16" s="5"/>
      <c r="K16" s="5">
        <v>1.8918918918918919</v>
      </c>
      <c r="L16" s="36"/>
      <c r="M16" s="6">
        <v>55</v>
      </c>
      <c r="N16" s="34"/>
      <c r="O16" s="13">
        <v>-25</v>
      </c>
      <c r="P16" s="34"/>
      <c r="Q16" s="24"/>
      <c r="R16" s="5"/>
      <c r="S16" s="5">
        <v>9.6999999999999993</v>
      </c>
      <c r="T16" s="5">
        <v>7.4</v>
      </c>
      <c r="U16" s="5"/>
      <c r="V16" s="5"/>
      <c r="W16" s="5">
        <v>1.3108108108108107</v>
      </c>
      <c r="X16" s="19"/>
      <c r="Y16" s="17"/>
      <c r="Z16" s="55"/>
      <c r="AA16" s="55"/>
      <c r="AB16" s="55"/>
      <c r="AC16" s="55"/>
      <c r="AD16" s="34"/>
      <c r="AE16" s="13"/>
      <c r="AF16" s="7"/>
      <c r="AG16" s="7"/>
      <c r="AH16" s="7"/>
      <c r="AI16" s="33"/>
      <c r="AJ16" s="33"/>
    </row>
    <row r="17" spans="1:36" x14ac:dyDescent="0.4">
      <c r="A17" s="46"/>
      <c r="C17" s="13">
        <v>-20</v>
      </c>
      <c r="D17" s="2"/>
      <c r="E17" s="24"/>
      <c r="F17" s="5"/>
      <c r="G17" s="5">
        <v>11.2</v>
      </c>
      <c r="H17" s="5">
        <v>4.75</v>
      </c>
      <c r="I17" s="5"/>
      <c r="J17" s="5"/>
      <c r="K17" s="5">
        <v>2.357894736842105</v>
      </c>
      <c r="L17" s="36"/>
      <c r="M17" s="6">
        <v>65</v>
      </c>
      <c r="N17" s="34"/>
      <c r="O17" s="13">
        <v>-20</v>
      </c>
      <c r="P17" s="34"/>
      <c r="Q17" s="24"/>
      <c r="R17" s="5"/>
      <c r="S17" s="5">
        <v>10.8</v>
      </c>
      <c r="T17" s="5">
        <v>6.45</v>
      </c>
      <c r="U17" s="5"/>
      <c r="V17" s="5"/>
      <c r="W17" s="5">
        <v>1.6744186046511629</v>
      </c>
      <c r="X17" s="19"/>
      <c r="Y17" s="17"/>
      <c r="Z17" s="55"/>
      <c r="AA17" s="55"/>
      <c r="AB17" s="55"/>
      <c r="AC17" s="55"/>
      <c r="AD17" s="34"/>
      <c r="AE17" s="13" t="s">
        <v>38</v>
      </c>
      <c r="AF17" s="7">
        <v>13.2</v>
      </c>
      <c r="AG17" s="7">
        <v>3.25</v>
      </c>
      <c r="AH17" s="7">
        <f>AF17/AG17</f>
        <v>4.0615384615384613</v>
      </c>
      <c r="AI17" s="33"/>
      <c r="AJ17" s="33"/>
    </row>
    <row r="18" spans="1:36" x14ac:dyDescent="0.4">
      <c r="A18" s="3"/>
      <c r="C18" s="2">
        <v>-15</v>
      </c>
      <c r="D18" s="2"/>
      <c r="E18" s="24"/>
      <c r="F18" s="5"/>
      <c r="G18" s="5">
        <v>12</v>
      </c>
      <c r="H18" s="5">
        <v>4.5599999999999996</v>
      </c>
      <c r="I18" s="5"/>
      <c r="J18" s="5"/>
      <c r="K18" s="5">
        <v>2.6315789473684212</v>
      </c>
      <c r="L18" s="36"/>
      <c r="M18" s="6">
        <v>75</v>
      </c>
      <c r="N18" s="34"/>
      <c r="O18" s="13">
        <v>-15</v>
      </c>
      <c r="P18" s="34"/>
      <c r="Q18" s="24"/>
      <c r="R18" s="5"/>
      <c r="S18" s="5">
        <v>12</v>
      </c>
      <c r="T18" s="5">
        <v>6</v>
      </c>
      <c r="U18" s="5"/>
      <c r="V18" s="5"/>
      <c r="W18" s="5">
        <v>2</v>
      </c>
      <c r="X18" s="19"/>
      <c r="Y18" s="17"/>
      <c r="Z18" s="55"/>
      <c r="AA18" s="55"/>
      <c r="AB18" s="55"/>
      <c r="AC18" s="55"/>
      <c r="AD18" s="34"/>
      <c r="AE18" s="13" t="s">
        <v>40</v>
      </c>
      <c r="AF18" s="7">
        <v>12</v>
      </c>
      <c r="AG18" s="7">
        <v>2.8</v>
      </c>
      <c r="AH18" s="7">
        <f>AF18/AG18</f>
        <v>4.2857142857142856</v>
      </c>
      <c r="AI18" s="33"/>
      <c r="AJ18" s="33"/>
    </row>
    <row r="19" spans="1:36" x14ac:dyDescent="0.4">
      <c r="A19" s="3"/>
      <c r="C19" s="2">
        <v>-10</v>
      </c>
      <c r="D19" s="2"/>
      <c r="E19" s="24"/>
      <c r="F19" s="5"/>
      <c r="G19" s="29" t="s">
        <v>61</v>
      </c>
      <c r="H19" s="29" t="s">
        <v>61</v>
      </c>
      <c r="I19" s="5"/>
      <c r="J19" s="5"/>
      <c r="K19" s="29" t="s">
        <v>61</v>
      </c>
      <c r="L19" s="36"/>
      <c r="M19" s="6">
        <v>75</v>
      </c>
      <c r="N19" s="34"/>
      <c r="O19" s="13">
        <v>-10</v>
      </c>
      <c r="P19" s="34"/>
      <c r="Q19" s="24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9"/>
      <c r="Y19" s="17" t="s">
        <v>39</v>
      </c>
      <c r="Z19" s="5">
        <v>12</v>
      </c>
      <c r="AA19" s="5">
        <v>2.91</v>
      </c>
      <c r="AB19" s="5">
        <v>12</v>
      </c>
      <c r="AC19" s="5">
        <v>2.12</v>
      </c>
      <c r="AD19" s="34"/>
      <c r="AE19" s="15"/>
      <c r="AF19" s="33"/>
      <c r="AG19" s="33"/>
      <c r="AH19" s="33"/>
      <c r="AI19" s="33"/>
      <c r="AJ19" s="33"/>
    </row>
    <row r="20" spans="1:36" x14ac:dyDescent="0.4">
      <c r="A20" s="3"/>
      <c r="C20" s="2">
        <v>-7</v>
      </c>
      <c r="D20" s="2"/>
      <c r="E20" s="24"/>
      <c r="F20" s="5"/>
      <c r="G20" s="5">
        <v>12</v>
      </c>
      <c r="H20" s="5">
        <v>4</v>
      </c>
      <c r="I20" s="5"/>
      <c r="J20" s="5"/>
      <c r="K20" s="5">
        <v>3</v>
      </c>
      <c r="L20" s="36"/>
      <c r="M20" s="6">
        <v>75</v>
      </c>
      <c r="N20" s="34"/>
      <c r="O20" s="13">
        <v>-7</v>
      </c>
      <c r="P20" s="34"/>
      <c r="Q20" s="24"/>
      <c r="R20" s="5"/>
      <c r="S20" s="5">
        <v>12</v>
      </c>
      <c r="T20" s="5">
        <v>5.53</v>
      </c>
      <c r="U20" s="5"/>
      <c r="V20" s="5"/>
      <c r="W20" s="5">
        <v>2.1699819168173597</v>
      </c>
      <c r="X20" s="19"/>
      <c r="Y20" s="5">
        <f>AA20*(1.029-(0.05*Z20/G22))</f>
        <v>2.7476849999999997</v>
      </c>
      <c r="Z20" s="5">
        <v>10.6</v>
      </c>
      <c r="AA20" s="5">
        <v>2.79</v>
      </c>
      <c r="AB20" s="5">
        <v>10.6</v>
      </c>
      <c r="AC20" s="5">
        <v>2.2200000000000002</v>
      </c>
      <c r="AD20" s="34"/>
      <c r="AE20" s="13"/>
      <c r="AF20" s="34"/>
      <c r="AG20" s="34"/>
      <c r="AH20" s="33"/>
      <c r="AI20" s="33"/>
      <c r="AJ20" s="33"/>
    </row>
    <row r="21" spans="1:36" x14ac:dyDescent="0.4">
      <c r="A21" s="3"/>
      <c r="C21" s="2">
        <v>2</v>
      </c>
      <c r="D21" s="2"/>
      <c r="E21" s="24"/>
      <c r="F21" s="5"/>
      <c r="G21" s="5">
        <v>12</v>
      </c>
      <c r="H21" s="5">
        <v>3.39</v>
      </c>
      <c r="I21" s="5"/>
      <c r="J21" s="5"/>
      <c r="K21" s="5">
        <v>3.5398230088495577</v>
      </c>
      <c r="L21" s="36"/>
      <c r="M21" s="6">
        <v>75</v>
      </c>
      <c r="N21" s="34"/>
      <c r="O21" s="13">
        <v>2</v>
      </c>
      <c r="P21" s="34"/>
      <c r="Q21" s="24"/>
      <c r="R21" s="5"/>
      <c r="S21" s="5">
        <v>12</v>
      </c>
      <c r="T21" s="5">
        <v>4.95</v>
      </c>
      <c r="U21" s="5"/>
      <c r="V21" s="5"/>
      <c r="W21" s="5">
        <v>2.4242424242424243</v>
      </c>
      <c r="X21" s="19"/>
      <c r="Y21" s="5">
        <f>AA21*(0.906-(0.044*Z21/G22))</f>
        <v>4.1020750000000001</v>
      </c>
      <c r="Z21" s="5">
        <v>6.5</v>
      </c>
      <c r="AA21" s="5">
        <v>4.6500000000000004</v>
      </c>
      <c r="AB21" s="5">
        <v>6.5</v>
      </c>
      <c r="AC21" s="5">
        <v>3.65</v>
      </c>
      <c r="AD21" s="34"/>
      <c r="AE21" s="13"/>
      <c r="AF21" s="34"/>
      <c r="AG21" s="34"/>
      <c r="AH21" s="33"/>
      <c r="AI21" s="33"/>
      <c r="AJ21" s="33"/>
    </row>
    <row r="22" spans="1:36" x14ac:dyDescent="0.4">
      <c r="A22" s="3"/>
      <c r="C22" s="2">
        <v>7</v>
      </c>
      <c r="D22" s="2"/>
      <c r="E22" s="24"/>
      <c r="F22" s="5"/>
      <c r="G22" s="5">
        <v>12</v>
      </c>
      <c r="H22" s="5">
        <v>2.37</v>
      </c>
      <c r="I22" s="5"/>
      <c r="J22" s="5"/>
      <c r="K22" s="5">
        <v>5.0632911392405067</v>
      </c>
      <c r="L22" s="36"/>
      <c r="M22" s="6">
        <v>75</v>
      </c>
      <c r="N22" s="34"/>
      <c r="O22" s="13">
        <v>7</v>
      </c>
      <c r="P22" s="34"/>
      <c r="Q22" s="24"/>
      <c r="R22" s="5"/>
      <c r="S22" s="5">
        <v>12</v>
      </c>
      <c r="T22" s="5">
        <v>3.71</v>
      </c>
      <c r="U22" s="5"/>
      <c r="V22" s="5"/>
      <c r="W22" s="5">
        <v>3.2345013477088949</v>
      </c>
      <c r="X22" s="19"/>
      <c r="Y22" s="5">
        <f>K22</f>
        <v>5.0632911392405067</v>
      </c>
      <c r="Z22" s="5">
        <v>5.3</v>
      </c>
      <c r="AA22" s="5">
        <v>6.25</v>
      </c>
      <c r="AB22" s="5">
        <v>4.9000000000000004</v>
      </c>
      <c r="AC22" s="5">
        <v>4.57</v>
      </c>
      <c r="AD22" s="34"/>
      <c r="AE22" s="13"/>
      <c r="AF22" s="34"/>
      <c r="AG22" s="34"/>
      <c r="AH22" s="33"/>
      <c r="AI22" s="33"/>
      <c r="AJ22" s="33"/>
    </row>
    <row r="23" spans="1:36" x14ac:dyDescent="0.4">
      <c r="A23" s="3"/>
      <c r="C23" s="2">
        <v>12</v>
      </c>
      <c r="D23" s="2"/>
      <c r="E23" s="24"/>
      <c r="F23" s="5"/>
      <c r="G23" s="29" t="s">
        <v>61</v>
      </c>
      <c r="H23" s="29" t="s">
        <v>61</v>
      </c>
      <c r="I23" s="5"/>
      <c r="J23" s="5"/>
      <c r="K23" s="29" t="s">
        <v>61</v>
      </c>
      <c r="L23" s="36"/>
      <c r="M23" s="6">
        <v>75</v>
      </c>
      <c r="N23" s="34"/>
      <c r="O23" s="13">
        <v>12</v>
      </c>
      <c r="P23" s="34"/>
      <c r="Q23" s="24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9"/>
      <c r="Y23" s="17"/>
      <c r="Z23" s="5">
        <v>6.1</v>
      </c>
      <c r="AA23" s="5">
        <v>7.78</v>
      </c>
      <c r="AB23" s="5">
        <v>5.7</v>
      </c>
      <c r="AC23" s="5">
        <v>5.84</v>
      </c>
      <c r="AD23" s="34"/>
      <c r="AE23" s="13"/>
      <c r="AF23" s="34"/>
      <c r="AG23" s="34"/>
      <c r="AH23" s="33"/>
      <c r="AI23" s="33"/>
      <c r="AJ23" s="33"/>
    </row>
    <row r="24" spans="1:36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18"/>
      <c r="N24" s="30"/>
      <c r="O24" s="14"/>
      <c r="P24" s="30"/>
      <c r="Q24" s="30"/>
      <c r="R24" s="31"/>
      <c r="S24" s="31"/>
      <c r="T24" s="31"/>
      <c r="U24" s="31"/>
      <c r="V24" s="31"/>
      <c r="W24" s="31"/>
      <c r="X24" s="18"/>
      <c r="Y24" s="22"/>
      <c r="Z24" s="56"/>
      <c r="AA24" s="56"/>
      <c r="AB24" s="56"/>
      <c r="AC24" s="56"/>
      <c r="AD24" s="30"/>
      <c r="AE24" s="14"/>
      <c r="AF24" s="30"/>
      <c r="AG24" s="30"/>
      <c r="AH24" s="30"/>
      <c r="AI24" s="33"/>
      <c r="AJ24" s="33"/>
    </row>
    <row r="25" spans="1:36" s="1" customFormat="1" x14ac:dyDescent="0.4">
      <c r="A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 s="57"/>
      <c r="Z25" s="57"/>
      <c r="AA25" s="57"/>
      <c r="AB25" s="57"/>
      <c r="AC25" s="57"/>
      <c r="AD25"/>
      <c r="AE25"/>
      <c r="AF25" s="15"/>
      <c r="AG25" s="15"/>
      <c r="AH25" s="15"/>
    </row>
    <row r="26" spans="1:36" x14ac:dyDescent="0.4">
      <c r="A26" s="47"/>
      <c r="Y26" s="57"/>
      <c r="Z26" s="57"/>
      <c r="AA26" s="57"/>
      <c r="AB26" s="57"/>
      <c r="AC26" s="57"/>
    </row>
    <row r="28" spans="1:36" x14ac:dyDescent="0.4">
      <c r="A28" s="33"/>
      <c r="B28" s="53"/>
    </row>
    <row r="29" spans="1:36" x14ac:dyDescent="0.4">
      <c r="A29" s="33"/>
      <c r="B29" s="53"/>
    </row>
    <row r="30" spans="1:36" x14ac:dyDescent="0.4">
      <c r="A30" s="53"/>
      <c r="B30" s="53"/>
    </row>
    <row r="31" spans="1:36" x14ac:dyDescent="0.4">
      <c r="A31" s="33"/>
      <c r="B31" s="53"/>
    </row>
    <row r="32" spans="1:36" x14ac:dyDescent="0.4">
      <c r="A32" s="33"/>
      <c r="B32" s="53"/>
    </row>
    <row r="34" spans="1:1" x14ac:dyDescent="0.4">
      <c r="A34"/>
    </row>
    <row r="35" spans="1:1" x14ac:dyDescent="0.4">
      <c r="A3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2210-1B6B-4919-9F9D-A6243CDA38A3}">
  <sheetPr>
    <tabColor rgb="FFFFFF00"/>
  </sheetPr>
  <dimension ref="A1:AH71"/>
  <sheetViews>
    <sheetView zoomScale="70" zoomScaleNormal="70" workbookViewId="0">
      <pane xSplit="3" ySplit="3" topLeftCell="D4" activePane="bottomRight" state="frozen"/>
      <selection activeCell="C20" sqref="C20"/>
      <selection pane="topRight" activeCell="C20" sqref="C20"/>
      <selection pane="bottomLeft" activeCell="C20" sqref="C20"/>
      <selection pane="bottomRight" activeCell="A2" sqref="A2"/>
    </sheetView>
  </sheetViews>
  <sheetFormatPr baseColWidth="10" defaultColWidth="11.4609375" defaultRowHeight="14.6" x14ac:dyDescent="0.4"/>
  <cols>
    <col min="1" max="1" width="23.07421875" style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" bestFit="1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A3" s="1" t="s">
        <v>9</v>
      </c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146</v>
      </c>
      <c r="B5" s="1" t="s">
        <v>43</v>
      </c>
      <c r="C5" s="4">
        <v>-25</v>
      </c>
      <c r="D5" s="2"/>
      <c r="E5" s="5"/>
      <c r="F5" s="5"/>
      <c r="G5" s="5">
        <v>2.4500000000000002</v>
      </c>
      <c r="H5" s="5">
        <v>1.76</v>
      </c>
      <c r="I5" s="5"/>
      <c r="J5" s="5"/>
      <c r="K5" s="5">
        <f>G5/H5</f>
        <v>1.3920454545454546</v>
      </c>
      <c r="L5" s="17"/>
      <c r="M5" s="6">
        <v>55</v>
      </c>
      <c r="N5" s="13"/>
      <c r="O5" s="4">
        <v>-25</v>
      </c>
      <c r="P5" s="13"/>
      <c r="Q5" s="5"/>
      <c r="R5" s="5"/>
      <c r="S5" s="5">
        <v>3.6</v>
      </c>
      <c r="T5" s="5">
        <v>2.46</v>
      </c>
      <c r="U5" s="5"/>
      <c r="V5" s="5"/>
      <c r="W5" s="5">
        <f>S5/T5</f>
        <v>1.4634146341463414</v>
      </c>
      <c r="X5" s="4">
        <v>3</v>
      </c>
      <c r="Y5" s="17"/>
      <c r="Z5" s="5"/>
      <c r="AA5" s="5"/>
      <c r="AB5" s="5"/>
      <c r="AC5" s="5"/>
      <c r="AD5" s="13"/>
      <c r="AE5" s="13" t="s">
        <v>37</v>
      </c>
      <c r="AF5" s="7">
        <v>5</v>
      </c>
      <c r="AG5" s="7">
        <v>1.55</v>
      </c>
      <c r="AH5" s="7">
        <f>AF5/AG5</f>
        <v>3.225806451612903</v>
      </c>
    </row>
    <row r="6" spans="1:34" x14ac:dyDescent="0.4">
      <c r="A6"/>
      <c r="C6" s="13">
        <v>-20</v>
      </c>
      <c r="D6" s="2"/>
      <c r="E6" s="5"/>
      <c r="F6" s="5"/>
      <c r="G6" s="5">
        <v>4.7</v>
      </c>
      <c r="H6" s="5">
        <v>2.19</v>
      </c>
      <c r="I6" s="5"/>
      <c r="J6" s="5"/>
      <c r="K6" s="5">
        <f>G6/H6</f>
        <v>2.1461187214611872</v>
      </c>
      <c r="L6" s="17"/>
      <c r="M6" s="6">
        <v>55</v>
      </c>
      <c r="N6" s="13"/>
      <c r="O6" s="13">
        <v>-20</v>
      </c>
      <c r="P6" s="13"/>
      <c r="Q6" s="5"/>
      <c r="R6" s="5"/>
      <c r="S6" s="5">
        <v>4.25</v>
      </c>
      <c r="T6" s="5">
        <v>2.57</v>
      </c>
      <c r="U6" s="5"/>
      <c r="V6" s="5"/>
      <c r="W6" s="5">
        <f>S6/T6</f>
        <v>1.6536964980544748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3"/>
      <c r="C7" s="2">
        <v>-15</v>
      </c>
      <c r="D7" s="2"/>
      <c r="E7" s="5"/>
      <c r="F7" s="5"/>
      <c r="G7" s="5">
        <v>5</v>
      </c>
      <c r="H7" s="5">
        <v>1.94</v>
      </c>
      <c r="I7" s="5"/>
      <c r="J7" s="5"/>
      <c r="K7" s="5">
        <f>G7/H7</f>
        <v>2.5773195876288661</v>
      </c>
      <c r="L7" s="17"/>
      <c r="M7" s="6">
        <v>65</v>
      </c>
      <c r="N7" s="13"/>
      <c r="O7" s="13">
        <v>-15</v>
      </c>
      <c r="P7" s="13"/>
      <c r="Q7" s="5"/>
      <c r="R7" s="5"/>
      <c r="S7" s="5">
        <v>5</v>
      </c>
      <c r="T7" s="5">
        <v>2.63</v>
      </c>
      <c r="U7" s="5"/>
      <c r="V7" s="5"/>
      <c r="W7" s="5">
        <f>S7/T7</f>
        <v>1.9011406844106464</v>
      </c>
      <c r="X7" s="19"/>
      <c r="Y7" s="17"/>
      <c r="Z7" s="5"/>
      <c r="AA7" s="5"/>
      <c r="AB7" s="5"/>
      <c r="AC7" s="5"/>
      <c r="AD7" s="13"/>
      <c r="AE7" s="13" t="s">
        <v>38</v>
      </c>
      <c r="AF7" s="7">
        <v>5.2</v>
      </c>
      <c r="AG7" s="7">
        <v>1.44</v>
      </c>
      <c r="AH7" s="7">
        <f t="shared" ref="AH7:AH8" si="0">AF7/AG7</f>
        <v>3.6111111111111112</v>
      </c>
    </row>
    <row r="8" spans="1:34" x14ac:dyDescent="0.4">
      <c r="A8" s="3"/>
      <c r="C8" s="2">
        <v>-10</v>
      </c>
      <c r="D8" s="2"/>
      <c r="E8" s="5"/>
      <c r="F8" s="5"/>
      <c r="G8" s="5"/>
      <c r="H8" s="5"/>
      <c r="I8" s="5"/>
      <c r="J8" s="5"/>
      <c r="K8" s="5"/>
      <c r="L8" s="17"/>
      <c r="M8" s="6">
        <v>75</v>
      </c>
      <c r="N8" s="13"/>
      <c r="O8" s="13">
        <v>-10</v>
      </c>
      <c r="P8" s="13"/>
      <c r="Q8" s="5"/>
      <c r="R8" s="5"/>
      <c r="S8" s="5"/>
      <c r="T8" s="5"/>
      <c r="U8" s="5"/>
      <c r="V8" s="5"/>
      <c r="W8" s="5"/>
      <c r="X8" s="19"/>
      <c r="Y8" s="17" t="s">
        <v>39</v>
      </c>
      <c r="Z8" s="5">
        <v>5</v>
      </c>
      <c r="AA8" s="5">
        <v>2.82</v>
      </c>
      <c r="AB8" s="5">
        <v>5</v>
      </c>
      <c r="AC8" s="5">
        <v>2.0299999999999998</v>
      </c>
      <c r="AD8" s="13"/>
      <c r="AE8" s="13" t="s">
        <v>40</v>
      </c>
      <c r="AF8" s="7">
        <v>5</v>
      </c>
      <c r="AG8" s="7">
        <v>1</v>
      </c>
      <c r="AH8" s="7">
        <f t="shared" si="0"/>
        <v>5</v>
      </c>
    </row>
    <row r="9" spans="1:34" x14ac:dyDescent="0.4">
      <c r="A9" s="3"/>
      <c r="C9" s="2">
        <v>-7</v>
      </c>
      <c r="D9" s="2"/>
      <c r="E9" s="5"/>
      <c r="F9" s="5"/>
      <c r="G9" s="5">
        <v>5</v>
      </c>
      <c r="H9" s="5">
        <v>1.66</v>
      </c>
      <c r="I9" s="5"/>
      <c r="J9" s="5"/>
      <c r="K9" s="5">
        <f>G9/H9</f>
        <v>3.0120481927710845</v>
      </c>
      <c r="L9" s="17"/>
      <c r="M9" s="6">
        <v>75</v>
      </c>
      <c r="N9" s="13"/>
      <c r="O9" s="13">
        <v>-7</v>
      </c>
      <c r="P9" s="13"/>
      <c r="Q9" s="5"/>
      <c r="R9" s="5"/>
      <c r="S9" s="5">
        <v>5</v>
      </c>
      <c r="T9" s="5">
        <v>2.36</v>
      </c>
      <c r="U9" s="5"/>
      <c r="V9" s="5"/>
      <c r="W9" s="5">
        <f>S9/T9</f>
        <v>2.1186440677966103</v>
      </c>
      <c r="X9" s="19"/>
      <c r="Y9" s="5">
        <f>AA9*(1.029-(0.05*Z9/G11))</f>
        <v>3.2012499999999995</v>
      </c>
      <c r="Z9" s="5">
        <v>4.4000000000000004</v>
      </c>
      <c r="AA9" s="5">
        <v>3.25</v>
      </c>
      <c r="AB9" s="5">
        <v>4.4000000000000004</v>
      </c>
      <c r="AC9" s="5">
        <v>2.27</v>
      </c>
      <c r="AD9" s="13"/>
      <c r="AE9" s="13"/>
      <c r="AF9" s="19"/>
      <c r="AG9" s="19"/>
      <c r="AH9" s="20"/>
    </row>
    <row r="10" spans="1:34" x14ac:dyDescent="0.4">
      <c r="A10" s="3"/>
      <c r="C10" s="2">
        <v>2</v>
      </c>
      <c r="D10" s="2"/>
      <c r="E10" s="5"/>
      <c r="F10" s="5"/>
      <c r="G10" s="5">
        <v>5</v>
      </c>
      <c r="H10" s="5">
        <v>1.42</v>
      </c>
      <c r="I10" s="5"/>
      <c r="J10" s="5"/>
      <c r="K10" s="5">
        <f>G10/H10</f>
        <v>3.5211267605633805</v>
      </c>
      <c r="L10" s="17"/>
      <c r="M10" s="6">
        <v>75</v>
      </c>
      <c r="N10" s="13"/>
      <c r="O10" s="13">
        <v>2</v>
      </c>
      <c r="P10" s="13"/>
      <c r="Q10" s="5"/>
      <c r="R10" s="5"/>
      <c r="S10" s="5">
        <v>5</v>
      </c>
      <c r="T10" s="5">
        <v>2.14</v>
      </c>
      <c r="U10" s="5"/>
      <c r="V10" s="5"/>
      <c r="W10" s="5">
        <f>S10/T10</f>
        <v>2.3364485981308412</v>
      </c>
      <c r="X10" s="19"/>
      <c r="Y10" s="5">
        <f>AA10*(0.906-(0.044*Z10/G11))</f>
        <v>4.4200223999999997</v>
      </c>
      <c r="Z10" s="5">
        <v>2.7</v>
      </c>
      <c r="AA10" s="5">
        <v>5.01</v>
      </c>
      <c r="AB10" s="5">
        <v>2.7</v>
      </c>
      <c r="AC10" s="5">
        <v>3.55</v>
      </c>
      <c r="AD10" s="13"/>
      <c r="AE10" s="13"/>
      <c r="AF10" s="19"/>
      <c r="AG10" s="19"/>
      <c r="AH10" s="20"/>
    </row>
    <row r="11" spans="1:34" x14ac:dyDescent="0.4">
      <c r="A11" s="3"/>
      <c r="C11" s="2">
        <v>7</v>
      </c>
      <c r="D11" s="2"/>
      <c r="E11" s="5"/>
      <c r="F11" s="5"/>
      <c r="G11" s="5">
        <v>5</v>
      </c>
      <c r="H11" s="5">
        <v>0.99</v>
      </c>
      <c r="I11" s="5"/>
      <c r="J11" s="5"/>
      <c r="K11" s="5">
        <f>G11/H11</f>
        <v>5.0505050505050502</v>
      </c>
      <c r="L11" s="17"/>
      <c r="M11" s="6">
        <v>75</v>
      </c>
      <c r="N11" s="13"/>
      <c r="O11" s="13">
        <v>7</v>
      </c>
      <c r="P11" s="13"/>
      <c r="Q11" s="5"/>
      <c r="R11" s="5"/>
      <c r="S11" s="5">
        <v>5</v>
      </c>
      <c r="T11" s="5">
        <v>1.63</v>
      </c>
      <c r="U11" s="5"/>
      <c r="V11" s="5"/>
      <c r="W11" s="5">
        <f>S11/T11</f>
        <v>3.0674846625766872</v>
      </c>
      <c r="X11" s="19"/>
      <c r="Y11" s="5">
        <f>K11</f>
        <v>5.0505050505050502</v>
      </c>
      <c r="Z11" s="5">
        <v>2.6</v>
      </c>
      <c r="AA11" s="5">
        <v>6.44</v>
      </c>
      <c r="AB11" s="5">
        <v>2.4</v>
      </c>
      <c r="AC11" s="5">
        <v>4.6900000000000004</v>
      </c>
      <c r="AD11" s="13"/>
      <c r="AE11" s="13"/>
      <c r="AF11" s="19"/>
      <c r="AG11" s="19"/>
      <c r="AH11" s="20"/>
    </row>
    <row r="12" spans="1:34" x14ac:dyDescent="0.4">
      <c r="A12" s="3"/>
      <c r="C12" s="2">
        <v>12</v>
      </c>
      <c r="D12" s="2"/>
      <c r="E12" s="5"/>
      <c r="F12" s="5"/>
      <c r="G12" s="5"/>
      <c r="H12" s="5"/>
      <c r="I12" s="5"/>
      <c r="J12" s="5"/>
      <c r="K12" s="5"/>
      <c r="L12" s="17"/>
      <c r="M12" s="6">
        <v>75</v>
      </c>
      <c r="N12" s="13"/>
      <c r="O12" s="13">
        <v>12</v>
      </c>
      <c r="P12" s="13"/>
      <c r="Q12" s="5"/>
      <c r="R12" s="5"/>
      <c r="S12" s="5"/>
      <c r="T12" s="5"/>
      <c r="U12" s="5"/>
      <c r="V12" s="5"/>
      <c r="W12" s="5"/>
      <c r="X12" s="19"/>
      <c r="Y12" s="17"/>
      <c r="Z12" s="5">
        <v>3</v>
      </c>
      <c r="AA12" s="5">
        <v>8.2799999999999994</v>
      </c>
      <c r="AB12" s="5">
        <v>2.9</v>
      </c>
      <c r="AC12" s="5">
        <v>6.08</v>
      </c>
      <c r="AD12" s="13"/>
      <c r="AE12" s="13"/>
      <c r="AF12" s="19"/>
      <c r="AG12" s="19"/>
      <c r="AH12" s="20"/>
    </row>
    <row r="13" spans="1:34" x14ac:dyDescent="0.4">
      <c r="A13" s="8"/>
      <c r="B13" s="8"/>
      <c r="C13" s="9"/>
      <c r="D13" s="9"/>
      <c r="E13" s="18"/>
      <c r="F13" s="18"/>
      <c r="G13" s="18"/>
      <c r="H13" s="18"/>
      <c r="I13" s="18"/>
      <c r="J13" s="18"/>
      <c r="K13" s="18"/>
      <c r="L13" s="18"/>
      <c r="M13" s="18"/>
      <c r="N13" s="14"/>
      <c r="O13" s="14"/>
      <c r="P13" s="14"/>
      <c r="Q13" s="18"/>
      <c r="R13" s="18"/>
      <c r="S13" s="18"/>
      <c r="T13" s="18"/>
      <c r="U13" s="18"/>
      <c r="V13" s="18"/>
      <c r="W13" s="18"/>
      <c r="X13" s="18"/>
      <c r="Y13" s="22"/>
      <c r="Z13" s="22"/>
      <c r="AA13" s="22"/>
      <c r="AB13" s="22"/>
      <c r="AC13" s="22"/>
      <c r="AD13" s="14"/>
      <c r="AE13" s="14"/>
      <c r="AF13" s="18"/>
      <c r="AG13" s="18"/>
      <c r="AH13" s="18"/>
    </row>
    <row r="14" spans="1:34" x14ac:dyDescent="0.4">
      <c r="A14" s="3" t="s">
        <v>146</v>
      </c>
      <c r="B14" s="1" t="s">
        <v>45</v>
      </c>
      <c r="C14" s="4">
        <v>-25</v>
      </c>
      <c r="D14" s="2"/>
      <c r="E14" s="5"/>
      <c r="F14" s="5"/>
      <c r="G14" s="5">
        <v>4.75</v>
      </c>
      <c r="H14" s="5">
        <v>2.5299999999999998</v>
      </c>
      <c r="I14" s="5"/>
      <c r="J14" s="5"/>
      <c r="K14" s="5">
        <f>G14/H14</f>
        <v>1.8774703557312253</v>
      </c>
      <c r="L14" s="17"/>
      <c r="M14" s="6">
        <v>55</v>
      </c>
      <c r="N14" s="13"/>
      <c r="O14" s="4">
        <v>-25</v>
      </c>
      <c r="P14" s="13"/>
      <c r="Q14" s="5"/>
      <c r="R14" s="5"/>
      <c r="S14" s="5">
        <v>3.95</v>
      </c>
      <c r="T14" s="5">
        <v>2.78</v>
      </c>
      <c r="U14" s="5"/>
      <c r="V14" s="5"/>
      <c r="W14" s="5">
        <f>S14/T14</f>
        <v>1.4208633093525183</v>
      </c>
      <c r="X14" s="4">
        <v>3</v>
      </c>
      <c r="Y14" s="17"/>
      <c r="Z14" s="5"/>
      <c r="AA14" s="5"/>
      <c r="AB14" s="5"/>
      <c r="AC14" s="5"/>
      <c r="AD14" s="13"/>
      <c r="AE14" s="13" t="s">
        <v>37</v>
      </c>
      <c r="AF14" s="7">
        <v>7</v>
      </c>
      <c r="AG14" s="7">
        <v>2.31</v>
      </c>
      <c r="AH14" s="7">
        <f>AF14/AG14</f>
        <v>3.0303030303030303</v>
      </c>
    </row>
    <row r="15" spans="1:34" x14ac:dyDescent="0.4">
      <c r="A15"/>
      <c r="C15" s="13">
        <v>-20</v>
      </c>
      <c r="D15" s="2"/>
      <c r="E15" s="5"/>
      <c r="F15" s="5"/>
      <c r="G15" s="5">
        <v>5.5</v>
      </c>
      <c r="H15" s="5">
        <v>2.56</v>
      </c>
      <c r="I15" s="5"/>
      <c r="J15" s="5"/>
      <c r="K15" s="5">
        <f>G15/H15</f>
        <v>2.1484375</v>
      </c>
      <c r="L15" s="17"/>
      <c r="M15" s="6">
        <v>55</v>
      </c>
      <c r="N15" s="13"/>
      <c r="O15" s="13">
        <v>-20</v>
      </c>
      <c r="P15" s="13"/>
      <c r="Q15" s="5"/>
      <c r="R15" s="5"/>
      <c r="S15" s="5">
        <v>4.9000000000000004</v>
      </c>
      <c r="T15" s="5">
        <v>2.97</v>
      </c>
      <c r="U15" s="5"/>
      <c r="V15" s="5"/>
      <c r="W15" s="5">
        <f>S15/T15</f>
        <v>1.6498316498316499</v>
      </c>
      <c r="X15" s="19"/>
      <c r="Y15" s="17"/>
      <c r="Z15" s="5"/>
      <c r="AA15" s="5"/>
      <c r="AB15" s="5"/>
      <c r="AC15" s="5"/>
      <c r="AD15" s="13"/>
      <c r="AE15" s="13"/>
      <c r="AF15" s="7"/>
      <c r="AG15" s="7"/>
      <c r="AH15" s="7"/>
    </row>
    <row r="16" spans="1:34" x14ac:dyDescent="0.4">
      <c r="A16" s="3"/>
      <c r="C16" s="2">
        <v>-15</v>
      </c>
      <c r="D16" s="2"/>
      <c r="E16" s="5"/>
      <c r="F16" s="5"/>
      <c r="G16" s="5">
        <v>6</v>
      </c>
      <c r="H16" s="5">
        <v>2.5</v>
      </c>
      <c r="I16" s="5"/>
      <c r="J16" s="5"/>
      <c r="K16" s="5">
        <f>G16/H16</f>
        <v>2.4</v>
      </c>
      <c r="L16" s="17"/>
      <c r="M16" s="6">
        <v>65</v>
      </c>
      <c r="N16" s="13"/>
      <c r="O16" s="13">
        <v>-15</v>
      </c>
      <c r="P16" s="13"/>
      <c r="Q16" s="5"/>
      <c r="R16" s="5"/>
      <c r="S16" s="5">
        <v>5.2</v>
      </c>
      <c r="T16" s="5">
        <v>2.89</v>
      </c>
      <c r="U16" s="5"/>
      <c r="V16" s="5"/>
      <c r="W16" s="5">
        <f>S16/T16</f>
        <v>1.7993079584775087</v>
      </c>
      <c r="X16" s="19"/>
      <c r="Y16" s="17"/>
      <c r="Z16" s="5"/>
      <c r="AA16" s="5"/>
      <c r="AB16" s="5"/>
      <c r="AC16" s="5"/>
      <c r="AD16" s="13"/>
      <c r="AE16" s="13" t="s">
        <v>38</v>
      </c>
      <c r="AF16" s="7">
        <v>8</v>
      </c>
      <c r="AG16" s="7">
        <v>2.2599999999999998</v>
      </c>
      <c r="AH16" s="7">
        <f t="shared" ref="AH16:AH17" si="1">AF16/AG16</f>
        <v>3.5398230088495577</v>
      </c>
    </row>
    <row r="17" spans="1:34" x14ac:dyDescent="0.4">
      <c r="A17" s="3"/>
      <c r="C17" s="2">
        <v>-10</v>
      </c>
      <c r="D17" s="2"/>
      <c r="E17" s="5"/>
      <c r="F17" s="5"/>
      <c r="G17" s="5"/>
      <c r="H17" s="5"/>
      <c r="I17" s="5"/>
      <c r="J17" s="5"/>
      <c r="K17" s="5"/>
      <c r="L17" s="17"/>
      <c r="M17" s="6">
        <v>75</v>
      </c>
      <c r="N17" s="13"/>
      <c r="O17" s="13">
        <v>-10</v>
      </c>
      <c r="P17" s="13"/>
      <c r="Q17" s="5"/>
      <c r="R17" s="5"/>
      <c r="S17" s="5"/>
      <c r="T17" s="5"/>
      <c r="U17" s="5"/>
      <c r="V17" s="5"/>
      <c r="W17" s="5"/>
      <c r="X17" s="19"/>
      <c r="Y17" s="17" t="s">
        <v>39</v>
      </c>
      <c r="Z17" s="5">
        <v>7</v>
      </c>
      <c r="AA17" s="5">
        <v>2.83</v>
      </c>
      <c r="AB17" s="5">
        <v>7</v>
      </c>
      <c r="AC17" s="5">
        <v>2.08</v>
      </c>
      <c r="AD17" s="13"/>
      <c r="AE17" s="13" t="s">
        <v>40</v>
      </c>
      <c r="AF17" s="7">
        <v>7</v>
      </c>
      <c r="AG17" s="7">
        <v>1.48</v>
      </c>
      <c r="AH17" s="7">
        <f t="shared" si="1"/>
        <v>4.7297297297297298</v>
      </c>
    </row>
    <row r="18" spans="1:34" x14ac:dyDescent="0.4">
      <c r="A18" s="3"/>
      <c r="C18" s="2">
        <v>-7</v>
      </c>
      <c r="D18" s="2"/>
      <c r="E18" s="5"/>
      <c r="F18" s="5"/>
      <c r="G18" s="5">
        <v>5.8</v>
      </c>
      <c r="H18" s="5">
        <v>1.93</v>
      </c>
      <c r="I18" s="5"/>
      <c r="J18" s="5"/>
      <c r="K18" s="5">
        <f>G18/H18</f>
        <v>3.0051813471502591</v>
      </c>
      <c r="L18" s="17"/>
      <c r="M18" s="6">
        <v>75</v>
      </c>
      <c r="N18" s="13"/>
      <c r="O18" s="13">
        <v>-7</v>
      </c>
      <c r="P18" s="13"/>
      <c r="Q18" s="5"/>
      <c r="R18" s="5"/>
      <c r="S18" s="5">
        <v>5.8</v>
      </c>
      <c r="T18" s="5">
        <v>2.74</v>
      </c>
      <c r="U18" s="5"/>
      <c r="V18" s="5"/>
      <c r="W18" s="5">
        <f>S18/T18</f>
        <v>2.1167883211678831</v>
      </c>
      <c r="X18" s="19"/>
      <c r="Y18" s="5">
        <f>AA18*(1.029-(0.05*Z18/G20))</f>
        <v>3.210168571428571</v>
      </c>
      <c r="Z18" s="5">
        <v>6.2</v>
      </c>
      <c r="AA18" s="5">
        <v>3.26</v>
      </c>
      <c r="AB18" s="5">
        <v>6.2</v>
      </c>
      <c r="AC18" s="5">
        <v>2.33</v>
      </c>
      <c r="AD18" s="13"/>
      <c r="AE18" s="13"/>
      <c r="AF18" s="19"/>
      <c r="AG18" s="19"/>
      <c r="AH18" s="20"/>
    </row>
    <row r="19" spans="1:34" x14ac:dyDescent="0.4">
      <c r="A19" s="3"/>
      <c r="C19" s="2">
        <v>2</v>
      </c>
      <c r="D19" s="2"/>
      <c r="E19" s="5"/>
      <c r="F19" s="5"/>
      <c r="G19" s="5">
        <v>6.85</v>
      </c>
      <c r="H19" s="5">
        <v>2</v>
      </c>
      <c r="I19" s="5"/>
      <c r="J19" s="5"/>
      <c r="K19" s="5">
        <f>G19/H19</f>
        <v>3.4249999999999998</v>
      </c>
      <c r="L19" s="17"/>
      <c r="M19" s="6">
        <v>75</v>
      </c>
      <c r="N19" s="13"/>
      <c r="O19" s="13">
        <v>2</v>
      </c>
      <c r="P19" s="13"/>
      <c r="Q19" s="5"/>
      <c r="R19" s="5"/>
      <c r="S19" s="5">
        <v>6.25</v>
      </c>
      <c r="T19" s="5">
        <v>2.67</v>
      </c>
      <c r="U19" s="5"/>
      <c r="V19" s="5"/>
      <c r="W19" s="5">
        <f>S19/T19</f>
        <v>2.3408239700374533</v>
      </c>
      <c r="X19" s="19"/>
      <c r="Y19" s="5">
        <f>AA19*(0.906-(0.044*Z19/G20))</f>
        <v>4.2606120000000001</v>
      </c>
      <c r="Z19" s="5">
        <v>3.8</v>
      </c>
      <c r="AA19" s="5">
        <v>4.83</v>
      </c>
      <c r="AB19" s="5">
        <v>3.8</v>
      </c>
      <c r="AC19" s="5">
        <v>3.49</v>
      </c>
      <c r="AD19" s="13"/>
      <c r="AE19" s="13"/>
      <c r="AF19" s="19"/>
      <c r="AG19" s="19"/>
      <c r="AH19" s="20"/>
    </row>
    <row r="20" spans="1:34" x14ac:dyDescent="0.4">
      <c r="A20" s="3"/>
      <c r="C20" s="2">
        <v>7</v>
      </c>
      <c r="D20" s="2"/>
      <c r="E20" s="5"/>
      <c r="F20" s="5"/>
      <c r="G20" s="5">
        <v>7</v>
      </c>
      <c r="H20" s="5">
        <v>1.42</v>
      </c>
      <c r="I20" s="5"/>
      <c r="J20" s="5"/>
      <c r="K20" s="5">
        <f>G20/H20</f>
        <v>4.9295774647887329</v>
      </c>
      <c r="L20" s="17"/>
      <c r="M20" s="6">
        <v>75</v>
      </c>
      <c r="N20" s="13"/>
      <c r="O20" s="13">
        <v>7</v>
      </c>
      <c r="P20" s="13"/>
      <c r="Q20" s="5"/>
      <c r="R20" s="5"/>
      <c r="S20" s="5">
        <v>7</v>
      </c>
      <c r="T20" s="5">
        <v>2.35</v>
      </c>
      <c r="U20" s="5"/>
      <c r="V20" s="5"/>
      <c r="W20" s="5">
        <f>S20/T20</f>
        <v>2.978723404255319</v>
      </c>
      <c r="X20" s="19"/>
      <c r="Y20" s="5">
        <f>K20</f>
        <v>4.9295774647887329</v>
      </c>
      <c r="Z20" s="5">
        <v>2.9</v>
      </c>
      <c r="AA20" s="5">
        <v>6.29</v>
      </c>
      <c r="AB20" s="5">
        <v>2.7</v>
      </c>
      <c r="AC20" s="5">
        <v>4.66</v>
      </c>
      <c r="AD20" s="13"/>
      <c r="AE20" s="13"/>
      <c r="AF20" s="19"/>
      <c r="AG20" s="19"/>
      <c r="AH20" s="20"/>
    </row>
    <row r="21" spans="1:34" x14ac:dyDescent="0.4">
      <c r="A21" s="3"/>
      <c r="C21" s="2">
        <v>12</v>
      </c>
      <c r="D21" s="2"/>
      <c r="E21" s="5"/>
      <c r="F21" s="5"/>
      <c r="G21" s="5"/>
      <c r="H21" s="5"/>
      <c r="I21" s="5"/>
      <c r="J21" s="5"/>
      <c r="K21" s="5"/>
      <c r="L21" s="17"/>
      <c r="M21" s="6">
        <v>75</v>
      </c>
      <c r="N21" s="13"/>
      <c r="O21" s="13">
        <v>12</v>
      </c>
      <c r="P21" s="13"/>
      <c r="Q21" s="5"/>
      <c r="R21" s="5"/>
      <c r="S21" s="5"/>
      <c r="T21" s="5"/>
      <c r="U21" s="5"/>
      <c r="V21" s="5"/>
      <c r="W21" s="5"/>
      <c r="X21" s="19"/>
      <c r="Y21" s="17"/>
      <c r="Z21" s="5">
        <v>3.4</v>
      </c>
      <c r="AA21" s="5">
        <v>7.92</v>
      </c>
      <c r="AB21" s="5">
        <v>3.3</v>
      </c>
      <c r="AC21" s="5">
        <v>6.37</v>
      </c>
      <c r="AD21" s="13"/>
      <c r="AE21" s="13"/>
      <c r="AF21" s="19"/>
      <c r="AG21" s="19"/>
      <c r="AH21" s="20"/>
    </row>
    <row r="22" spans="1:34" x14ac:dyDescent="0.4">
      <c r="A22" s="8"/>
      <c r="B22" s="8"/>
      <c r="C22" s="9"/>
      <c r="D22" s="9"/>
      <c r="E22" s="18"/>
      <c r="F22" s="18"/>
      <c r="G22" s="18"/>
      <c r="H22" s="18"/>
      <c r="I22" s="18"/>
      <c r="J22" s="18"/>
      <c r="K22" s="18"/>
      <c r="L22" s="18"/>
      <c r="M22" s="18"/>
      <c r="N22" s="14"/>
      <c r="O22" s="14"/>
      <c r="P22" s="14"/>
      <c r="Q22" s="18"/>
      <c r="R22" s="18"/>
      <c r="S22" s="18"/>
      <c r="T22" s="18"/>
      <c r="U22" s="18"/>
      <c r="V22" s="18"/>
      <c r="W22" s="18"/>
      <c r="X22" s="18"/>
      <c r="Y22" s="22"/>
      <c r="Z22" s="22"/>
      <c r="AA22" s="22"/>
      <c r="AB22" s="22"/>
      <c r="AC22" s="22"/>
      <c r="AD22" s="14"/>
      <c r="AE22" s="14"/>
      <c r="AF22" s="18"/>
      <c r="AG22" s="18"/>
      <c r="AH22" s="18"/>
    </row>
    <row r="23" spans="1:34" x14ac:dyDescent="0.4">
      <c r="A23" s="3" t="s">
        <v>146</v>
      </c>
      <c r="B23" s="1" t="s">
        <v>46</v>
      </c>
      <c r="C23" s="4">
        <v>-25</v>
      </c>
      <c r="D23" s="2"/>
      <c r="E23" s="5"/>
      <c r="F23" s="5"/>
      <c r="G23" s="5">
        <v>6.05</v>
      </c>
      <c r="H23" s="5">
        <v>3.43</v>
      </c>
      <c r="I23" s="5"/>
      <c r="J23" s="5"/>
      <c r="K23" s="5">
        <f>G23/H23</f>
        <v>1.7638483965014575</v>
      </c>
      <c r="L23" s="17"/>
      <c r="M23" s="6">
        <v>55</v>
      </c>
      <c r="N23" s="13"/>
      <c r="O23" s="4">
        <v>-25</v>
      </c>
      <c r="P23" s="13"/>
      <c r="Q23" s="5"/>
      <c r="R23" s="5"/>
      <c r="S23" s="5">
        <v>4.6500000000000004</v>
      </c>
      <c r="T23" s="5">
        <v>3.15</v>
      </c>
      <c r="U23" s="5"/>
      <c r="V23" s="5"/>
      <c r="W23" s="5">
        <f>S23/T23</f>
        <v>1.4761904761904763</v>
      </c>
      <c r="X23" s="4">
        <v>3</v>
      </c>
      <c r="Y23" s="17"/>
      <c r="Z23" s="5"/>
      <c r="AA23" s="5"/>
      <c r="AB23" s="5"/>
      <c r="AC23" s="5"/>
      <c r="AD23" s="13"/>
      <c r="AE23" s="13" t="s">
        <v>37</v>
      </c>
      <c r="AF23" s="7">
        <v>8.1999999999999993</v>
      </c>
      <c r="AG23" s="7">
        <v>2.91</v>
      </c>
      <c r="AH23" s="7">
        <f>AF23/AG23</f>
        <v>2.8178694158075599</v>
      </c>
    </row>
    <row r="24" spans="1:34" x14ac:dyDescent="0.4">
      <c r="A24"/>
      <c r="C24" s="13">
        <v>-20</v>
      </c>
      <c r="D24" s="2"/>
      <c r="E24" s="5"/>
      <c r="F24" s="5"/>
      <c r="G24" s="5">
        <v>7</v>
      </c>
      <c r="H24" s="5">
        <v>3.56</v>
      </c>
      <c r="I24" s="5"/>
      <c r="J24" s="5"/>
      <c r="K24" s="5">
        <f>G24/H24</f>
        <v>1.9662921348314606</v>
      </c>
      <c r="L24" s="17"/>
      <c r="M24" s="6">
        <v>55</v>
      </c>
      <c r="N24" s="13"/>
      <c r="O24" s="13">
        <v>-20</v>
      </c>
      <c r="P24" s="13"/>
      <c r="Q24" s="5"/>
      <c r="R24" s="5"/>
      <c r="S24" s="5">
        <v>5.6</v>
      </c>
      <c r="T24" s="5">
        <v>3.43</v>
      </c>
      <c r="U24" s="5"/>
      <c r="V24" s="5"/>
      <c r="W24" s="5">
        <f>S24/T24</f>
        <v>1.6326530612244896</v>
      </c>
      <c r="X24" s="19"/>
      <c r="Y24" s="17"/>
      <c r="Z24" s="5"/>
      <c r="AA24" s="5"/>
      <c r="AB24" s="5"/>
      <c r="AC24" s="5"/>
      <c r="AD24" s="13"/>
      <c r="AE24" s="13"/>
      <c r="AF24" s="7"/>
      <c r="AG24" s="7"/>
      <c r="AH24" s="7"/>
    </row>
    <row r="25" spans="1:34" x14ac:dyDescent="0.4">
      <c r="A25" s="3"/>
      <c r="C25" s="2">
        <v>-15</v>
      </c>
      <c r="D25" s="2"/>
      <c r="E25" s="5"/>
      <c r="F25" s="5"/>
      <c r="G25" s="5">
        <v>7.4</v>
      </c>
      <c r="H25" s="5">
        <v>3.2</v>
      </c>
      <c r="I25" s="5"/>
      <c r="J25" s="5"/>
      <c r="K25" s="5">
        <v>2.31</v>
      </c>
      <c r="L25" s="17"/>
      <c r="M25" s="6">
        <v>65</v>
      </c>
      <c r="N25" s="13"/>
      <c r="O25" s="13">
        <v>-15</v>
      </c>
      <c r="P25" s="13"/>
      <c r="Q25" s="5"/>
      <c r="R25" s="5"/>
      <c r="S25" s="5">
        <v>6.3</v>
      </c>
      <c r="T25" s="5">
        <v>3.55</v>
      </c>
      <c r="U25" s="5"/>
      <c r="V25" s="5"/>
      <c r="W25" s="5">
        <f>S25/T25</f>
        <v>1.7746478873239437</v>
      </c>
      <c r="X25" s="19"/>
      <c r="Y25" s="17"/>
      <c r="Z25" s="5"/>
      <c r="AA25" s="5"/>
      <c r="AB25" s="5"/>
      <c r="AC25" s="5"/>
      <c r="AD25" s="13"/>
      <c r="AE25" s="13" t="s">
        <v>38</v>
      </c>
      <c r="AF25" s="7">
        <v>10</v>
      </c>
      <c r="AG25" s="7">
        <v>3.1</v>
      </c>
      <c r="AH25" s="7">
        <f t="shared" ref="AH25:AH26" si="2">AF25/AG25</f>
        <v>3.225806451612903</v>
      </c>
    </row>
    <row r="26" spans="1:34" x14ac:dyDescent="0.4">
      <c r="A26" s="3"/>
      <c r="C26" s="2">
        <v>-10</v>
      </c>
      <c r="D26" s="2"/>
      <c r="E26" s="5"/>
      <c r="F26" s="5"/>
      <c r="G26" s="5"/>
      <c r="H26" s="5"/>
      <c r="I26" s="5"/>
      <c r="J26" s="5"/>
      <c r="K26" s="5"/>
      <c r="L26" s="17"/>
      <c r="M26" s="6">
        <v>75</v>
      </c>
      <c r="N26" s="13"/>
      <c r="O26" s="13">
        <v>-10</v>
      </c>
      <c r="P26" s="13"/>
      <c r="Q26" s="5"/>
      <c r="R26" s="5"/>
      <c r="S26" s="5"/>
      <c r="T26" s="5"/>
      <c r="U26" s="5"/>
      <c r="V26" s="5"/>
      <c r="W26" s="5"/>
      <c r="X26" s="19"/>
      <c r="Y26" s="17" t="s">
        <v>39</v>
      </c>
      <c r="Z26" s="5">
        <v>8</v>
      </c>
      <c r="AA26" s="5">
        <v>2.57</v>
      </c>
      <c r="AB26" s="5">
        <v>7.5</v>
      </c>
      <c r="AC26" s="5">
        <v>1.98</v>
      </c>
      <c r="AD26" s="13"/>
      <c r="AE26" s="13" t="s">
        <v>40</v>
      </c>
      <c r="AF26" s="7">
        <v>9</v>
      </c>
      <c r="AG26" s="7">
        <v>2.15</v>
      </c>
      <c r="AH26" s="7">
        <f t="shared" si="2"/>
        <v>4.1860465116279073</v>
      </c>
    </row>
    <row r="27" spans="1:34" x14ac:dyDescent="0.4">
      <c r="A27" s="3"/>
      <c r="C27" s="2">
        <v>-7</v>
      </c>
      <c r="D27" s="2"/>
      <c r="E27" s="5"/>
      <c r="F27" s="5"/>
      <c r="G27" s="5">
        <v>7</v>
      </c>
      <c r="H27" s="5">
        <v>2.5</v>
      </c>
      <c r="I27" s="5"/>
      <c r="J27" s="5"/>
      <c r="K27" s="5">
        <v>2.84</v>
      </c>
      <c r="L27" s="17"/>
      <c r="M27" s="6">
        <v>75</v>
      </c>
      <c r="N27" s="13"/>
      <c r="O27" s="13">
        <v>-7</v>
      </c>
      <c r="P27" s="13"/>
      <c r="Q27" s="5"/>
      <c r="R27" s="5"/>
      <c r="S27" s="5">
        <v>7</v>
      </c>
      <c r="T27" s="5">
        <v>3.29</v>
      </c>
      <c r="U27" s="5"/>
      <c r="V27" s="5"/>
      <c r="W27" s="5">
        <f>S27/T27</f>
        <v>2.1276595744680851</v>
      </c>
      <c r="X27" s="19"/>
      <c r="Y27" s="5">
        <f>AA27*(1.029-(0.05*Z27/G29))</f>
        <v>2.8004422222222223</v>
      </c>
      <c r="Z27" s="5">
        <v>7.1</v>
      </c>
      <c r="AA27" s="5">
        <v>2.83</v>
      </c>
      <c r="AB27" s="5">
        <v>7.1</v>
      </c>
      <c r="AC27" s="5">
        <v>2.2799999999999998</v>
      </c>
      <c r="AD27" s="13"/>
      <c r="AE27" s="13"/>
      <c r="AF27" s="19"/>
      <c r="AG27" s="19"/>
      <c r="AH27" s="21"/>
    </row>
    <row r="28" spans="1:34" x14ac:dyDescent="0.4">
      <c r="A28" s="3"/>
      <c r="C28" s="2">
        <v>2</v>
      </c>
      <c r="D28" s="2"/>
      <c r="E28" s="5"/>
      <c r="F28" s="5"/>
      <c r="G28" s="5">
        <v>7</v>
      </c>
      <c r="H28" s="5">
        <v>2.0499999999999998</v>
      </c>
      <c r="I28" s="5"/>
      <c r="J28" s="5"/>
      <c r="K28" s="5">
        <v>3.4</v>
      </c>
      <c r="L28" s="17"/>
      <c r="M28" s="6">
        <v>75</v>
      </c>
      <c r="N28" s="13"/>
      <c r="O28" s="13">
        <v>2</v>
      </c>
      <c r="P28" s="13"/>
      <c r="Q28" s="5"/>
      <c r="R28" s="5"/>
      <c r="S28" s="5">
        <v>7</v>
      </c>
      <c r="T28" s="5">
        <v>2.9</v>
      </c>
      <c r="U28" s="5"/>
      <c r="V28" s="5"/>
      <c r="W28" s="5">
        <f>S28/T28</f>
        <v>2.4137931034482758</v>
      </c>
      <c r="X28" s="19"/>
      <c r="Y28" s="5">
        <f>AA28*(0.906-(0.044*Z28/G29))</f>
        <v>4.3275413333333335</v>
      </c>
      <c r="Z28" s="5">
        <v>4.3</v>
      </c>
      <c r="AA28" s="5">
        <v>4.8899999999999997</v>
      </c>
      <c r="AB28" s="5">
        <v>4.3</v>
      </c>
      <c r="AC28" s="5">
        <v>3.6</v>
      </c>
      <c r="AD28" s="13"/>
      <c r="AE28" s="13"/>
      <c r="AF28" s="19"/>
      <c r="AG28" s="19"/>
      <c r="AH28" s="21"/>
    </row>
    <row r="29" spans="1:34" x14ac:dyDescent="0.4">
      <c r="A29" s="3"/>
      <c r="C29" s="2">
        <v>7</v>
      </c>
      <c r="D29" s="2"/>
      <c r="E29" s="5"/>
      <c r="F29" s="5"/>
      <c r="G29" s="5">
        <v>9</v>
      </c>
      <c r="H29" s="5">
        <v>1.98</v>
      </c>
      <c r="I29" s="5"/>
      <c r="J29" s="5"/>
      <c r="K29" s="5">
        <v>4.55</v>
      </c>
      <c r="L29" s="17"/>
      <c r="M29" s="6">
        <v>75</v>
      </c>
      <c r="N29" s="13"/>
      <c r="O29" s="13">
        <v>7</v>
      </c>
      <c r="P29" s="13"/>
      <c r="Q29" s="5"/>
      <c r="R29" s="5"/>
      <c r="S29" s="5">
        <v>8.9</v>
      </c>
      <c r="T29" s="5">
        <v>2.94</v>
      </c>
      <c r="U29" s="5"/>
      <c r="V29" s="5"/>
      <c r="W29" s="5">
        <f>S29/T29</f>
        <v>3.0272108843537415</v>
      </c>
      <c r="X29" s="19"/>
      <c r="Y29" s="5">
        <f>K29</f>
        <v>4.55</v>
      </c>
      <c r="Z29" s="5">
        <v>2.8</v>
      </c>
      <c r="AA29" s="5">
        <v>6.21</v>
      </c>
      <c r="AB29" s="5">
        <v>2.8</v>
      </c>
      <c r="AC29" s="5">
        <v>4.72</v>
      </c>
      <c r="AD29" s="13"/>
      <c r="AE29" s="13"/>
      <c r="AF29" s="19"/>
      <c r="AG29" s="19"/>
      <c r="AH29" s="21"/>
    </row>
    <row r="30" spans="1:34" x14ac:dyDescent="0.4">
      <c r="A30" s="3"/>
      <c r="C30" s="2">
        <v>12</v>
      </c>
      <c r="D30" s="2"/>
      <c r="E30" s="5"/>
      <c r="F30" s="5"/>
      <c r="G30" s="5"/>
      <c r="H30" s="5"/>
      <c r="I30" s="5"/>
      <c r="J30" s="5"/>
      <c r="K30" s="5"/>
      <c r="L30" s="17"/>
      <c r="M30" s="6">
        <v>75</v>
      </c>
      <c r="N30" s="13"/>
      <c r="O30" s="13">
        <v>12</v>
      </c>
      <c r="P30" s="13"/>
      <c r="Q30" s="5"/>
      <c r="R30" s="5"/>
      <c r="S30" s="5"/>
      <c r="T30" s="5"/>
      <c r="U30" s="5"/>
      <c r="V30" s="5"/>
      <c r="W30" s="5"/>
      <c r="X30" s="19"/>
      <c r="Y30" s="17"/>
      <c r="Z30" s="5">
        <v>3.3</v>
      </c>
      <c r="AA30" s="5">
        <v>7.45</v>
      </c>
      <c r="AB30" s="5">
        <v>3.2</v>
      </c>
      <c r="AC30" s="5">
        <v>6.12</v>
      </c>
      <c r="AD30" s="13"/>
      <c r="AE30" s="13"/>
      <c r="AF30" s="19"/>
      <c r="AG30" s="19"/>
      <c r="AH30" s="21"/>
    </row>
    <row r="31" spans="1:34" x14ac:dyDescent="0.4">
      <c r="A31" s="8"/>
      <c r="B31" s="8"/>
      <c r="C31" s="9"/>
      <c r="D31" s="9"/>
      <c r="E31" s="18"/>
      <c r="F31" s="18"/>
      <c r="G31" s="18"/>
      <c r="H31" s="18"/>
      <c r="I31" s="18"/>
      <c r="J31" s="18"/>
      <c r="K31" s="18"/>
      <c r="L31" s="18"/>
      <c r="M31" s="18"/>
      <c r="N31" s="14"/>
      <c r="O31" s="14"/>
      <c r="P31" s="14"/>
      <c r="Q31" s="18"/>
      <c r="R31" s="18"/>
      <c r="S31" s="18"/>
      <c r="T31" s="18"/>
      <c r="U31" s="18"/>
      <c r="V31" s="18"/>
      <c r="W31" s="18"/>
      <c r="X31" s="18"/>
      <c r="Y31" s="22"/>
      <c r="Z31" s="22"/>
      <c r="AA31" s="22"/>
      <c r="AB31" s="22"/>
      <c r="AC31" s="22"/>
      <c r="AD31" s="14"/>
      <c r="AE31" s="14"/>
      <c r="AF31" s="18"/>
      <c r="AG31" s="18"/>
      <c r="AH31" s="18"/>
    </row>
    <row r="32" spans="1:34" x14ac:dyDescent="0.4">
      <c r="A32" s="3" t="s">
        <v>147</v>
      </c>
      <c r="B32" s="1" t="s">
        <v>43</v>
      </c>
      <c r="C32" s="4">
        <v>-25</v>
      </c>
      <c r="D32" s="2"/>
      <c r="E32" s="5"/>
      <c r="F32" s="5"/>
      <c r="G32" s="5">
        <v>2.4500000000000002</v>
      </c>
      <c r="H32" s="5">
        <v>1.76</v>
      </c>
      <c r="I32" s="5"/>
      <c r="J32" s="5"/>
      <c r="K32" s="5">
        <f>G32/H32</f>
        <v>1.3920454545454546</v>
      </c>
      <c r="L32" s="17"/>
      <c r="M32" s="6">
        <v>55</v>
      </c>
      <c r="N32" s="13"/>
      <c r="O32" s="4">
        <v>-25</v>
      </c>
      <c r="P32" s="13"/>
      <c r="Q32" s="5"/>
      <c r="R32" s="5"/>
      <c r="S32" s="5">
        <v>3.6</v>
      </c>
      <c r="T32" s="5">
        <v>2.46</v>
      </c>
      <c r="U32" s="5"/>
      <c r="V32" s="5"/>
      <c r="W32" s="5">
        <f>S32/T32</f>
        <v>1.4634146341463414</v>
      </c>
      <c r="X32" s="4">
        <v>3</v>
      </c>
      <c r="Y32" s="17"/>
      <c r="Z32" s="5"/>
      <c r="AA32" s="5"/>
      <c r="AB32" s="5"/>
      <c r="AC32" s="5"/>
      <c r="AD32" s="13"/>
      <c r="AE32" s="13" t="s">
        <v>37</v>
      </c>
      <c r="AF32" s="7">
        <v>5</v>
      </c>
      <c r="AG32" s="7">
        <v>1.55</v>
      </c>
      <c r="AH32" s="7">
        <f>AF32/AG32</f>
        <v>3.225806451612903</v>
      </c>
    </row>
    <row r="33" spans="1:34" x14ac:dyDescent="0.4">
      <c r="A33"/>
      <c r="C33" s="13">
        <v>-20</v>
      </c>
      <c r="D33" s="2"/>
      <c r="E33" s="5"/>
      <c r="F33" s="5"/>
      <c r="G33" s="5">
        <v>4.7</v>
      </c>
      <c r="H33" s="5">
        <v>2.19</v>
      </c>
      <c r="I33" s="5"/>
      <c r="J33" s="5"/>
      <c r="K33" s="5">
        <f>G33/H33</f>
        <v>2.1461187214611872</v>
      </c>
      <c r="L33" s="17"/>
      <c r="M33" s="6">
        <v>55</v>
      </c>
      <c r="N33" s="13"/>
      <c r="O33" s="13">
        <v>-20</v>
      </c>
      <c r="P33" s="13"/>
      <c r="Q33" s="5"/>
      <c r="R33" s="5"/>
      <c r="S33" s="5">
        <v>4.25</v>
      </c>
      <c r="T33" s="5">
        <v>2.57</v>
      </c>
      <c r="U33" s="5"/>
      <c r="V33" s="5"/>
      <c r="W33" s="5">
        <f>S33/T33</f>
        <v>1.6536964980544748</v>
      </c>
      <c r="X33" s="19"/>
      <c r="Y33" s="17"/>
      <c r="Z33" s="5"/>
      <c r="AA33" s="5"/>
      <c r="AB33" s="5"/>
      <c r="AC33" s="5"/>
      <c r="AD33" s="13"/>
      <c r="AE33" s="13"/>
      <c r="AF33" s="7"/>
      <c r="AG33" s="7"/>
      <c r="AH33" s="7"/>
    </row>
    <row r="34" spans="1:34" x14ac:dyDescent="0.4">
      <c r="A34" s="3"/>
      <c r="C34" s="2">
        <v>-15</v>
      </c>
      <c r="D34" s="2"/>
      <c r="E34" s="5"/>
      <c r="F34" s="5"/>
      <c r="G34" s="5">
        <v>5</v>
      </c>
      <c r="H34" s="5">
        <v>1.94</v>
      </c>
      <c r="I34" s="5"/>
      <c r="J34" s="5"/>
      <c r="K34" s="5">
        <f>G34/H34</f>
        <v>2.5773195876288661</v>
      </c>
      <c r="L34" s="17"/>
      <c r="M34" s="6">
        <v>65</v>
      </c>
      <c r="N34" s="13"/>
      <c r="O34" s="13">
        <v>-15</v>
      </c>
      <c r="P34" s="13"/>
      <c r="Q34" s="5"/>
      <c r="R34" s="5"/>
      <c r="S34" s="5">
        <v>5</v>
      </c>
      <c r="T34" s="5">
        <v>2.63</v>
      </c>
      <c r="U34" s="5"/>
      <c r="V34" s="5"/>
      <c r="W34" s="5">
        <f>S34/T34</f>
        <v>1.9011406844106464</v>
      </c>
      <c r="X34" s="19"/>
      <c r="Y34" s="17"/>
      <c r="Z34" s="5"/>
      <c r="AA34" s="5"/>
      <c r="AB34" s="5"/>
      <c r="AC34" s="5"/>
      <c r="AD34" s="13"/>
      <c r="AE34" s="13" t="s">
        <v>38</v>
      </c>
      <c r="AF34" s="7">
        <v>5.2</v>
      </c>
      <c r="AG34" s="7">
        <v>1.44</v>
      </c>
      <c r="AH34" s="7">
        <f t="shared" ref="AH34:AH35" si="3">AF34/AG34</f>
        <v>3.6111111111111112</v>
      </c>
    </row>
    <row r="35" spans="1:34" x14ac:dyDescent="0.4">
      <c r="A35" s="3"/>
      <c r="C35" s="2">
        <v>-10</v>
      </c>
      <c r="D35" s="2"/>
      <c r="E35" s="5"/>
      <c r="F35" s="5"/>
      <c r="G35" s="5"/>
      <c r="H35" s="5"/>
      <c r="I35" s="5"/>
      <c r="J35" s="5"/>
      <c r="K35" s="5"/>
      <c r="L35" s="17"/>
      <c r="M35" s="6">
        <v>75</v>
      </c>
      <c r="N35" s="13"/>
      <c r="O35" s="13">
        <v>-10</v>
      </c>
      <c r="P35" s="13"/>
      <c r="Q35" s="5"/>
      <c r="R35" s="5"/>
      <c r="S35" s="5"/>
      <c r="T35" s="5"/>
      <c r="U35" s="5"/>
      <c r="V35" s="5"/>
      <c r="W35" s="5"/>
      <c r="X35" s="19"/>
      <c r="Y35" s="17" t="s">
        <v>39</v>
      </c>
      <c r="Z35" s="5">
        <v>5</v>
      </c>
      <c r="AA35" s="5">
        <v>2.82</v>
      </c>
      <c r="AB35" s="5">
        <v>5</v>
      </c>
      <c r="AC35" s="5">
        <v>2.0299999999999998</v>
      </c>
      <c r="AD35" s="13"/>
      <c r="AE35" s="13" t="s">
        <v>40</v>
      </c>
      <c r="AF35" s="7">
        <v>5</v>
      </c>
      <c r="AG35" s="7">
        <v>1</v>
      </c>
      <c r="AH35" s="7">
        <f t="shared" si="3"/>
        <v>5</v>
      </c>
    </row>
    <row r="36" spans="1:34" x14ac:dyDescent="0.4">
      <c r="A36" s="3"/>
      <c r="C36" s="2">
        <v>-7</v>
      </c>
      <c r="D36" s="2"/>
      <c r="E36" s="5"/>
      <c r="F36" s="5"/>
      <c r="G36" s="5">
        <v>5</v>
      </c>
      <c r="H36" s="5">
        <v>1.66</v>
      </c>
      <c r="I36" s="5"/>
      <c r="J36" s="5"/>
      <c r="K36" s="5">
        <f>G36/H36</f>
        <v>3.0120481927710845</v>
      </c>
      <c r="L36" s="17"/>
      <c r="M36" s="6">
        <v>75</v>
      </c>
      <c r="N36" s="13"/>
      <c r="O36" s="13">
        <v>-7</v>
      </c>
      <c r="P36" s="13"/>
      <c r="Q36" s="5"/>
      <c r="R36" s="5"/>
      <c r="S36" s="5">
        <v>5</v>
      </c>
      <c r="T36" s="5">
        <v>2.36</v>
      </c>
      <c r="U36" s="5"/>
      <c r="V36" s="5"/>
      <c r="W36" s="5">
        <f>S36/T36</f>
        <v>2.1186440677966103</v>
      </c>
      <c r="X36" s="19"/>
      <c r="Y36" s="5">
        <f>AA36*(1.029-(0.05*Z36/G38))</f>
        <v>3.2012499999999995</v>
      </c>
      <c r="Z36" s="5">
        <v>4.4000000000000004</v>
      </c>
      <c r="AA36" s="5">
        <v>3.25</v>
      </c>
      <c r="AB36" s="5">
        <v>4.4000000000000004</v>
      </c>
      <c r="AC36" s="5">
        <v>2.27</v>
      </c>
      <c r="AD36" s="13"/>
      <c r="AE36" s="13"/>
      <c r="AF36" s="19"/>
      <c r="AG36" s="19"/>
      <c r="AH36" s="20"/>
    </row>
    <row r="37" spans="1:34" x14ac:dyDescent="0.4">
      <c r="A37" s="3"/>
      <c r="C37" s="2">
        <v>2</v>
      </c>
      <c r="D37" s="2"/>
      <c r="E37" s="5"/>
      <c r="F37" s="5"/>
      <c r="G37" s="5">
        <v>5</v>
      </c>
      <c r="H37" s="5">
        <v>1.42</v>
      </c>
      <c r="I37" s="5"/>
      <c r="J37" s="5"/>
      <c r="K37" s="5">
        <f>G37/H37</f>
        <v>3.5211267605633805</v>
      </c>
      <c r="L37" s="17"/>
      <c r="M37" s="6">
        <v>75</v>
      </c>
      <c r="N37" s="13"/>
      <c r="O37" s="13">
        <v>2</v>
      </c>
      <c r="P37" s="13"/>
      <c r="Q37" s="5"/>
      <c r="R37" s="5"/>
      <c r="S37" s="5">
        <v>5</v>
      </c>
      <c r="T37" s="5">
        <v>2.14</v>
      </c>
      <c r="U37" s="5"/>
      <c r="V37" s="5"/>
      <c r="W37" s="5">
        <f>S37/T37</f>
        <v>2.3364485981308412</v>
      </c>
      <c r="X37" s="19"/>
      <c r="Y37" s="5">
        <f>AA37*(0.906-(0.044*Z37/G38))</f>
        <v>4.4200223999999997</v>
      </c>
      <c r="Z37" s="5">
        <v>2.7</v>
      </c>
      <c r="AA37" s="5">
        <v>5.01</v>
      </c>
      <c r="AB37" s="5">
        <v>2.7</v>
      </c>
      <c r="AC37" s="5">
        <v>3.55</v>
      </c>
      <c r="AD37" s="13"/>
      <c r="AE37" s="13"/>
      <c r="AF37" s="19"/>
      <c r="AG37" s="19"/>
      <c r="AH37" s="20"/>
    </row>
    <row r="38" spans="1:34" x14ac:dyDescent="0.4">
      <c r="A38" s="3"/>
      <c r="C38" s="2">
        <v>7</v>
      </c>
      <c r="D38" s="2"/>
      <c r="E38" s="5"/>
      <c r="F38" s="5"/>
      <c r="G38" s="5">
        <v>5</v>
      </c>
      <c r="H38" s="5">
        <v>0.99</v>
      </c>
      <c r="I38" s="5"/>
      <c r="J38" s="5"/>
      <c r="K38" s="5">
        <f>G38/H38</f>
        <v>5.0505050505050502</v>
      </c>
      <c r="L38" s="17"/>
      <c r="M38" s="6">
        <v>75</v>
      </c>
      <c r="N38" s="13"/>
      <c r="O38" s="13">
        <v>7</v>
      </c>
      <c r="P38" s="13"/>
      <c r="Q38" s="5"/>
      <c r="R38" s="5"/>
      <c r="S38" s="5">
        <v>5</v>
      </c>
      <c r="T38" s="5">
        <v>1.63</v>
      </c>
      <c r="U38" s="5"/>
      <c r="V38" s="5"/>
      <c r="W38" s="5">
        <f>S38/T38</f>
        <v>3.0674846625766872</v>
      </c>
      <c r="X38" s="19"/>
      <c r="Y38" s="5">
        <f>K38</f>
        <v>5.0505050505050502</v>
      </c>
      <c r="Z38" s="5">
        <v>2.6</v>
      </c>
      <c r="AA38" s="5">
        <v>6.44</v>
      </c>
      <c r="AB38" s="5">
        <v>2.4</v>
      </c>
      <c r="AC38" s="5">
        <v>4.6900000000000004</v>
      </c>
      <c r="AD38" s="13"/>
      <c r="AE38" s="13"/>
      <c r="AF38" s="19"/>
      <c r="AG38" s="19"/>
      <c r="AH38" s="20"/>
    </row>
    <row r="39" spans="1:34" s="1" customFormat="1" x14ac:dyDescent="0.4">
      <c r="A39" s="3"/>
      <c r="C39" s="2">
        <v>12</v>
      </c>
      <c r="D39" s="2"/>
      <c r="E39" s="5"/>
      <c r="F39" s="5"/>
      <c r="G39" s="5"/>
      <c r="H39" s="5"/>
      <c r="I39" s="5"/>
      <c r="J39" s="5"/>
      <c r="K39" s="5"/>
      <c r="L39" s="17"/>
      <c r="M39" s="6">
        <v>75</v>
      </c>
      <c r="N39" s="13"/>
      <c r="O39" s="13">
        <v>12</v>
      </c>
      <c r="P39" s="13"/>
      <c r="Q39" s="5"/>
      <c r="R39" s="5"/>
      <c r="S39" s="5"/>
      <c r="T39" s="5"/>
      <c r="U39" s="5"/>
      <c r="V39" s="5"/>
      <c r="W39" s="5"/>
      <c r="X39" s="19"/>
      <c r="Y39" s="17"/>
      <c r="Z39" s="5">
        <v>3</v>
      </c>
      <c r="AA39" s="5">
        <v>8.2799999999999994</v>
      </c>
      <c r="AB39" s="5">
        <v>2.9</v>
      </c>
      <c r="AC39" s="5">
        <v>6.08</v>
      </c>
      <c r="AD39" s="13"/>
      <c r="AE39" s="13"/>
      <c r="AF39" s="19"/>
      <c r="AG39" s="19"/>
      <c r="AH39" s="20"/>
    </row>
    <row r="40" spans="1:34" s="1" customFormat="1" x14ac:dyDescent="0.4">
      <c r="A40" s="8"/>
      <c r="B40" s="8"/>
      <c r="C40" s="9"/>
      <c r="D40" s="9"/>
      <c r="E40" s="18"/>
      <c r="F40" s="18"/>
      <c r="G40" s="18"/>
      <c r="H40" s="18"/>
      <c r="I40" s="18"/>
      <c r="J40" s="18"/>
      <c r="K40" s="18"/>
      <c r="L40" s="18"/>
      <c r="M40" s="18"/>
      <c r="N40" s="14"/>
      <c r="O40" s="14"/>
      <c r="P40" s="14"/>
      <c r="Q40" s="18"/>
      <c r="R40" s="18"/>
      <c r="S40" s="18"/>
      <c r="T40" s="18"/>
      <c r="U40" s="18"/>
      <c r="V40" s="18"/>
      <c r="W40" s="18"/>
      <c r="X40" s="18"/>
      <c r="Y40" s="22"/>
      <c r="Z40" s="22"/>
      <c r="AA40" s="22"/>
      <c r="AB40" s="22"/>
      <c r="AC40" s="22"/>
      <c r="AD40" s="14"/>
      <c r="AE40" s="14"/>
      <c r="AF40" s="18"/>
      <c r="AG40" s="18"/>
      <c r="AH40" s="18"/>
    </row>
    <row r="41" spans="1:34" s="1" customFormat="1" x14ac:dyDescent="0.4">
      <c r="A41" s="3" t="s">
        <v>147</v>
      </c>
      <c r="B41" s="1" t="s">
        <v>45</v>
      </c>
      <c r="C41" s="4">
        <v>-25</v>
      </c>
      <c r="D41" s="2"/>
      <c r="E41" s="5"/>
      <c r="F41" s="5"/>
      <c r="G41" s="5">
        <v>4.75</v>
      </c>
      <c r="H41" s="5">
        <v>2.5299999999999998</v>
      </c>
      <c r="I41" s="5"/>
      <c r="J41" s="5"/>
      <c r="K41" s="5">
        <f>G41/H41</f>
        <v>1.8774703557312253</v>
      </c>
      <c r="L41" s="17"/>
      <c r="M41" s="6">
        <v>55</v>
      </c>
      <c r="N41" s="13"/>
      <c r="O41" s="4">
        <v>-25</v>
      </c>
      <c r="P41" s="13"/>
      <c r="Q41" s="5"/>
      <c r="R41" s="5"/>
      <c r="S41" s="5">
        <v>3.95</v>
      </c>
      <c r="T41" s="5">
        <v>2.78</v>
      </c>
      <c r="U41" s="5"/>
      <c r="V41" s="5"/>
      <c r="W41" s="5">
        <f>S41/T41</f>
        <v>1.4208633093525183</v>
      </c>
      <c r="X41" s="4">
        <v>3</v>
      </c>
      <c r="Y41" s="17"/>
      <c r="Z41" s="5"/>
      <c r="AA41" s="5"/>
      <c r="AB41" s="5"/>
      <c r="AC41" s="5"/>
      <c r="AD41" s="13"/>
      <c r="AE41" s="13" t="s">
        <v>37</v>
      </c>
      <c r="AF41" s="7">
        <v>7</v>
      </c>
      <c r="AG41" s="7">
        <v>2.31</v>
      </c>
      <c r="AH41" s="7">
        <f>AF41/AG41</f>
        <v>3.0303030303030303</v>
      </c>
    </row>
    <row r="42" spans="1:34" s="1" customFormat="1" x14ac:dyDescent="0.4">
      <c r="A42"/>
      <c r="C42" s="13">
        <v>-20</v>
      </c>
      <c r="D42" s="2"/>
      <c r="E42" s="5"/>
      <c r="F42" s="5"/>
      <c r="G42" s="5">
        <v>5.5</v>
      </c>
      <c r="H42" s="5">
        <v>2.56</v>
      </c>
      <c r="I42" s="5"/>
      <c r="J42" s="5"/>
      <c r="K42" s="5">
        <f>G42/H42</f>
        <v>2.1484375</v>
      </c>
      <c r="L42" s="17"/>
      <c r="M42" s="6">
        <v>55</v>
      </c>
      <c r="N42" s="13"/>
      <c r="O42" s="13">
        <v>-20</v>
      </c>
      <c r="P42" s="13"/>
      <c r="Q42" s="5"/>
      <c r="R42" s="5"/>
      <c r="S42" s="5">
        <v>4.9000000000000004</v>
      </c>
      <c r="T42" s="5">
        <v>2.97</v>
      </c>
      <c r="U42" s="5"/>
      <c r="V42" s="5"/>
      <c r="W42" s="5">
        <f>S42/T42</f>
        <v>1.6498316498316499</v>
      </c>
      <c r="X42" s="19"/>
      <c r="Y42" s="17"/>
      <c r="Z42" s="5"/>
      <c r="AA42" s="5"/>
      <c r="AB42" s="5"/>
      <c r="AC42" s="5"/>
      <c r="AD42" s="13"/>
      <c r="AE42" s="13"/>
      <c r="AF42" s="7"/>
      <c r="AG42" s="7"/>
      <c r="AH42" s="7"/>
    </row>
    <row r="43" spans="1:34" s="1" customFormat="1" x14ac:dyDescent="0.4">
      <c r="A43" s="3"/>
      <c r="C43" s="2">
        <v>-15</v>
      </c>
      <c r="D43" s="2"/>
      <c r="E43" s="5"/>
      <c r="F43" s="5"/>
      <c r="G43" s="5">
        <v>6</v>
      </c>
      <c r="H43" s="5">
        <v>2.5</v>
      </c>
      <c r="I43" s="5"/>
      <c r="J43" s="5"/>
      <c r="K43" s="5">
        <f>G43/H43</f>
        <v>2.4</v>
      </c>
      <c r="L43" s="17"/>
      <c r="M43" s="6">
        <v>65</v>
      </c>
      <c r="N43" s="13"/>
      <c r="O43" s="13">
        <v>-15</v>
      </c>
      <c r="P43" s="13"/>
      <c r="Q43" s="5"/>
      <c r="R43" s="5"/>
      <c r="S43" s="5">
        <v>5.2</v>
      </c>
      <c r="T43" s="5">
        <v>2.89</v>
      </c>
      <c r="U43" s="5"/>
      <c r="V43" s="5"/>
      <c r="W43" s="5">
        <f>S43/T43</f>
        <v>1.7993079584775087</v>
      </c>
      <c r="X43" s="19"/>
      <c r="Y43" s="17"/>
      <c r="Z43" s="5"/>
      <c r="AA43" s="5"/>
      <c r="AB43" s="5"/>
      <c r="AC43" s="5"/>
      <c r="AD43" s="13"/>
      <c r="AE43" s="13" t="s">
        <v>38</v>
      </c>
      <c r="AF43" s="7">
        <v>8</v>
      </c>
      <c r="AG43" s="7">
        <v>2.2599999999999998</v>
      </c>
      <c r="AH43" s="7">
        <f t="shared" ref="AH43:AH44" si="4">AF43/AG43</f>
        <v>3.5398230088495577</v>
      </c>
    </row>
    <row r="44" spans="1:34" x14ac:dyDescent="0.4">
      <c r="A44" s="3"/>
      <c r="C44" s="2">
        <v>-10</v>
      </c>
      <c r="D44" s="2"/>
      <c r="E44" s="5"/>
      <c r="F44" s="5"/>
      <c r="G44" s="5"/>
      <c r="H44" s="5"/>
      <c r="I44" s="5"/>
      <c r="J44" s="5"/>
      <c r="K44" s="5"/>
      <c r="L44" s="17"/>
      <c r="M44" s="6">
        <v>75</v>
      </c>
      <c r="N44" s="13"/>
      <c r="O44" s="13">
        <v>-10</v>
      </c>
      <c r="P44" s="13"/>
      <c r="Q44" s="5"/>
      <c r="R44" s="5"/>
      <c r="S44" s="5"/>
      <c r="T44" s="5"/>
      <c r="U44" s="5"/>
      <c r="V44" s="5"/>
      <c r="W44" s="5"/>
      <c r="X44" s="19"/>
      <c r="Y44" s="17" t="s">
        <v>39</v>
      </c>
      <c r="Z44" s="5">
        <v>7</v>
      </c>
      <c r="AA44" s="5">
        <v>2.83</v>
      </c>
      <c r="AB44" s="5">
        <v>7</v>
      </c>
      <c r="AC44" s="5">
        <v>2.08</v>
      </c>
      <c r="AD44" s="13"/>
      <c r="AE44" s="13" t="s">
        <v>40</v>
      </c>
      <c r="AF44" s="7">
        <v>7</v>
      </c>
      <c r="AG44" s="7">
        <v>1.48</v>
      </c>
      <c r="AH44" s="7">
        <f t="shared" si="4"/>
        <v>4.7297297297297298</v>
      </c>
    </row>
    <row r="45" spans="1:34" x14ac:dyDescent="0.4">
      <c r="A45" s="3"/>
      <c r="C45" s="2">
        <v>-7</v>
      </c>
      <c r="D45" s="2"/>
      <c r="E45" s="5"/>
      <c r="F45" s="5"/>
      <c r="G45" s="5">
        <v>5.8</v>
      </c>
      <c r="H45" s="5">
        <v>1.93</v>
      </c>
      <c r="I45" s="5"/>
      <c r="J45" s="5"/>
      <c r="K45" s="5">
        <f>G45/H45</f>
        <v>3.0051813471502591</v>
      </c>
      <c r="L45" s="17"/>
      <c r="M45" s="6">
        <v>75</v>
      </c>
      <c r="N45" s="13"/>
      <c r="O45" s="13">
        <v>-7</v>
      </c>
      <c r="P45" s="13"/>
      <c r="Q45" s="5"/>
      <c r="R45" s="5"/>
      <c r="S45" s="5">
        <v>5.8</v>
      </c>
      <c r="T45" s="5">
        <v>2.74</v>
      </c>
      <c r="U45" s="5"/>
      <c r="V45" s="5"/>
      <c r="W45" s="5">
        <f>S45/T45</f>
        <v>2.1167883211678831</v>
      </c>
      <c r="X45" s="19"/>
      <c r="Y45" s="5">
        <f>AA45*(1.029-(0.05*Z45/G47))</f>
        <v>3.210168571428571</v>
      </c>
      <c r="Z45" s="5">
        <v>6.2</v>
      </c>
      <c r="AA45" s="5">
        <v>3.26</v>
      </c>
      <c r="AB45" s="5">
        <v>6.2</v>
      </c>
      <c r="AC45" s="5">
        <v>2.33</v>
      </c>
      <c r="AD45" s="13"/>
      <c r="AE45" s="13"/>
      <c r="AF45" s="19"/>
      <c r="AG45" s="19"/>
      <c r="AH45" s="20"/>
    </row>
    <row r="46" spans="1:34" x14ac:dyDescent="0.4">
      <c r="A46" s="3"/>
      <c r="C46" s="2">
        <v>2</v>
      </c>
      <c r="D46" s="2"/>
      <c r="E46" s="5"/>
      <c r="F46" s="5"/>
      <c r="G46" s="5">
        <v>6.85</v>
      </c>
      <c r="H46" s="5">
        <v>2</v>
      </c>
      <c r="I46" s="5"/>
      <c r="J46" s="5"/>
      <c r="K46" s="5">
        <f>G46/H46</f>
        <v>3.4249999999999998</v>
      </c>
      <c r="L46" s="17"/>
      <c r="M46" s="6">
        <v>75</v>
      </c>
      <c r="N46" s="13"/>
      <c r="O46" s="13">
        <v>2</v>
      </c>
      <c r="P46" s="13"/>
      <c r="Q46" s="5"/>
      <c r="R46" s="5"/>
      <c r="S46" s="5">
        <v>6.25</v>
      </c>
      <c r="T46" s="5">
        <v>2.67</v>
      </c>
      <c r="U46" s="5"/>
      <c r="V46" s="5"/>
      <c r="W46" s="5">
        <f>S46/T46</f>
        <v>2.3408239700374533</v>
      </c>
      <c r="X46" s="19"/>
      <c r="Y46" s="5">
        <f>AA46*(0.906-(0.044*Z46/G47))</f>
        <v>4.2606120000000001</v>
      </c>
      <c r="Z46" s="5">
        <v>3.8</v>
      </c>
      <c r="AA46" s="5">
        <v>4.83</v>
      </c>
      <c r="AB46" s="5">
        <v>3.8</v>
      </c>
      <c r="AC46" s="5">
        <v>3.49</v>
      </c>
      <c r="AD46" s="13"/>
      <c r="AE46" s="13"/>
      <c r="AF46" s="19"/>
      <c r="AG46" s="19"/>
      <c r="AH46" s="20"/>
    </row>
    <row r="47" spans="1:34" x14ac:dyDescent="0.4">
      <c r="A47" s="3"/>
      <c r="C47" s="2">
        <v>7</v>
      </c>
      <c r="D47" s="2"/>
      <c r="E47" s="5"/>
      <c r="F47" s="5"/>
      <c r="G47" s="5">
        <v>7</v>
      </c>
      <c r="H47" s="5">
        <v>1.42</v>
      </c>
      <c r="I47" s="5"/>
      <c r="J47" s="5"/>
      <c r="K47" s="5">
        <f>G47/H47</f>
        <v>4.9295774647887329</v>
      </c>
      <c r="L47" s="17"/>
      <c r="M47" s="6">
        <v>75</v>
      </c>
      <c r="N47" s="13"/>
      <c r="O47" s="13">
        <v>7</v>
      </c>
      <c r="P47" s="13"/>
      <c r="Q47" s="5"/>
      <c r="R47" s="5"/>
      <c r="S47" s="5">
        <v>7</v>
      </c>
      <c r="T47" s="5">
        <v>2.35</v>
      </c>
      <c r="U47" s="5"/>
      <c r="V47" s="5"/>
      <c r="W47" s="5">
        <f>S47/T47</f>
        <v>2.978723404255319</v>
      </c>
      <c r="X47" s="19"/>
      <c r="Y47" s="5">
        <f>K47</f>
        <v>4.9295774647887329</v>
      </c>
      <c r="Z47" s="5">
        <v>2.9</v>
      </c>
      <c r="AA47" s="5">
        <v>6.29</v>
      </c>
      <c r="AB47" s="5">
        <v>2.7</v>
      </c>
      <c r="AC47" s="5">
        <v>4.66</v>
      </c>
      <c r="AD47" s="13"/>
      <c r="AE47" s="13"/>
      <c r="AF47" s="19"/>
      <c r="AG47" s="19"/>
      <c r="AH47" s="20"/>
    </row>
    <row r="48" spans="1:34" x14ac:dyDescent="0.4">
      <c r="A48" s="3"/>
      <c r="C48" s="2">
        <v>12</v>
      </c>
      <c r="D48" s="2"/>
      <c r="E48" s="5"/>
      <c r="F48" s="5"/>
      <c r="G48" s="5"/>
      <c r="H48" s="5"/>
      <c r="I48" s="5"/>
      <c r="J48" s="5"/>
      <c r="K48" s="5"/>
      <c r="L48" s="17"/>
      <c r="M48" s="6">
        <v>75</v>
      </c>
      <c r="N48" s="13"/>
      <c r="O48" s="13">
        <v>12</v>
      </c>
      <c r="P48" s="13"/>
      <c r="Q48" s="5"/>
      <c r="R48" s="5"/>
      <c r="S48" s="5"/>
      <c r="T48" s="5"/>
      <c r="U48" s="5"/>
      <c r="V48" s="5"/>
      <c r="W48" s="5"/>
      <c r="X48" s="19"/>
      <c r="Y48" s="17"/>
      <c r="Z48" s="5">
        <v>3.4</v>
      </c>
      <c r="AA48" s="5">
        <v>7.92</v>
      </c>
      <c r="AB48" s="5">
        <v>3.3</v>
      </c>
      <c r="AC48" s="5">
        <v>6.37</v>
      </c>
      <c r="AD48" s="13"/>
      <c r="AE48" s="13"/>
      <c r="AF48" s="19"/>
      <c r="AG48" s="19"/>
      <c r="AH48" s="20"/>
    </row>
    <row r="49" spans="1:34" x14ac:dyDescent="0.4">
      <c r="A49" s="8"/>
      <c r="B49" s="8"/>
      <c r="C49" s="9"/>
      <c r="D49" s="9"/>
      <c r="E49" s="18"/>
      <c r="F49" s="18"/>
      <c r="G49" s="18"/>
      <c r="H49" s="18"/>
      <c r="I49" s="18"/>
      <c r="J49" s="18"/>
      <c r="K49" s="18"/>
      <c r="L49" s="18"/>
      <c r="M49" s="18"/>
      <c r="N49" s="14"/>
      <c r="O49" s="14"/>
      <c r="P49" s="14"/>
      <c r="Q49" s="18"/>
      <c r="R49" s="18"/>
      <c r="S49" s="18"/>
      <c r="T49" s="18"/>
      <c r="U49" s="18"/>
      <c r="V49" s="18"/>
      <c r="W49" s="18"/>
      <c r="X49" s="18"/>
      <c r="Y49" s="22"/>
      <c r="Z49" s="22"/>
      <c r="AA49" s="22"/>
      <c r="AB49" s="22"/>
      <c r="AC49" s="22"/>
      <c r="AD49" s="14"/>
      <c r="AE49" s="14"/>
      <c r="AF49" s="18"/>
      <c r="AG49" s="18"/>
      <c r="AH49" s="18"/>
    </row>
    <row r="50" spans="1:34" x14ac:dyDescent="0.4">
      <c r="A50" s="3" t="s">
        <v>147</v>
      </c>
      <c r="B50" s="1" t="s">
        <v>46</v>
      </c>
      <c r="C50" s="4">
        <v>-25</v>
      </c>
      <c r="D50" s="2"/>
      <c r="E50" s="5"/>
      <c r="F50" s="5"/>
      <c r="G50" s="5">
        <v>6.05</v>
      </c>
      <c r="H50" s="5">
        <v>3.43</v>
      </c>
      <c r="I50" s="5"/>
      <c r="J50" s="5"/>
      <c r="K50" s="5">
        <f>G50/H50</f>
        <v>1.7638483965014575</v>
      </c>
      <c r="L50" s="17"/>
      <c r="M50" s="6">
        <v>55</v>
      </c>
      <c r="N50" s="13"/>
      <c r="O50" s="4">
        <v>-25</v>
      </c>
      <c r="P50" s="13"/>
      <c r="Q50" s="5"/>
      <c r="R50" s="5"/>
      <c r="S50" s="5">
        <v>4.6500000000000004</v>
      </c>
      <c r="T50" s="5">
        <v>3.15</v>
      </c>
      <c r="U50" s="5"/>
      <c r="V50" s="5"/>
      <c r="W50" s="5">
        <f>S50/T50</f>
        <v>1.4761904761904763</v>
      </c>
      <c r="X50" s="4">
        <v>3</v>
      </c>
      <c r="Y50" s="17"/>
      <c r="Z50" s="5"/>
      <c r="AA50" s="5"/>
      <c r="AB50" s="5"/>
      <c r="AC50" s="5"/>
      <c r="AD50" s="13"/>
      <c r="AE50" s="13" t="s">
        <v>37</v>
      </c>
      <c r="AF50" s="7">
        <v>8.1999999999999993</v>
      </c>
      <c r="AG50" s="7">
        <v>2.91</v>
      </c>
      <c r="AH50" s="7">
        <f>AF50/AG50</f>
        <v>2.8178694158075599</v>
      </c>
    </row>
    <row r="51" spans="1:34" x14ac:dyDescent="0.4">
      <c r="A51"/>
      <c r="C51" s="13">
        <v>-20</v>
      </c>
      <c r="D51" s="2"/>
      <c r="E51" s="5"/>
      <c r="F51" s="5"/>
      <c r="G51" s="5">
        <v>7</v>
      </c>
      <c r="H51" s="5">
        <v>3.56</v>
      </c>
      <c r="I51" s="5"/>
      <c r="J51" s="5"/>
      <c r="K51" s="5">
        <f>G51/H51</f>
        <v>1.9662921348314606</v>
      </c>
      <c r="L51" s="17"/>
      <c r="M51" s="6">
        <v>55</v>
      </c>
      <c r="N51" s="13"/>
      <c r="O51" s="13">
        <v>-20</v>
      </c>
      <c r="P51" s="13"/>
      <c r="Q51" s="5"/>
      <c r="R51" s="5"/>
      <c r="S51" s="5">
        <v>5.6</v>
      </c>
      <c r="T51" s="5">
        <v>3.43</v>
      </c>
      <c r="U51" s="5"/>
      <c r="V51" s="5"/>
      <c r="W51" s="5">
        <f>S51/T51</f>
        <v>1.6326530612244896</v>
      </c>
      <c r="X51" s="19"/>
      <c r="Y51" s="17"/>
      <c r="Z51" s="5"/>
      <c r="AA51" s="5"/>
      <c r="AB51" s="5"/>
      <c r="AC51" s="5"/>
      <c r="AD51" s="13"/>
      <c r="AE51" s="13"/>
      <c r="AF51" s="7"/>
      <c r="AG51" s="7"/>
      <c r="AH51" s="7"/>
    </row>
    <row r="52" spans="1:34" x14ac:dyDescent="0.4">
      <c r="A52" s="3"/>
      <c r="C52" s="2">
        <v>-15</v>
      </c>
      <c r="D52" s="2"/>
      <c r="E52" s="5"/>
      <c r="F52" s="5"/>
      <c r="G52" s="5">
        <v>7.4</v>
      </c>
      <c r="H52" s="5">
        <v>3.2</v>
      </c>
      <c r="I52" s="5"/>
      <c r="J52" s="5"/>
      <c r="K52" s="5">
        <v>2.31</v>
      </c>
      <c r="L52" s="17"/>
      <c r="M52" s="6">
        <v>65</v>
      </c>
      <c r="N52" s="13"/>
      <c r="O52" s="13">
        <v>-15</v>
      </c>
      <c r="P52" s="13"/>
      <c r="Q52" s="5"/>
      <c r="R52" s="5"/>
      <c r="S52" s="5">
        <v>6.3</v>
      </c>
      <c r="T52" s="5">
        <v>3.55</v>
      </c>
      <c r="U52" s="5"/>
      <c r="V52" s="5"/>
      <c r="W52" s="5">
        <f>S52/T52</f>
        <v>1.7746478873239437</v>
      </c>
      <c r="X52" s="19"/>
      <c r="Y52" s="17"/>
      <c r="Z52" s="5"/>
      <c r="AA52" s="5"/>
      <c r="AB52" s="5"/>
      <c r="AC52" s="5"/>
      <c r="AD52" s="13"/>
      <c r="AE52" s="13" t="s">
        <v>38</v>
      </c>
      <c r="AF52" s="7">
        <v>10</v>
      </c>
      <c r="AG52" s="7">
        <v>3.1</v>
      </c>
      <c r="AH52" s="7">
        <f t="shared" ref="AH52:AH53" si="5">AF52/AG52</f>
        <v>3.225806451612903</v>
      </c>
    </row>
    <row r="53" spans="1:34" x14ac:dyDescent="0.4">
      <c r="A53" s="3"/>
      <c r="C53" s="2">
        <v>-10</v>
      </c>
      <c r="D53" s="2"/>
      <c r="E53" s="5"/>
      <c r="F53" s="5"/>
      <c r="G53" s="5"/>
      <c r="H53" s="5"/>
      <c r="I53" s="5"/>
      <c r="J53" s="5"/>
      <c r="K53" s="5"/>
      <c r="L53" s="17"/>
      <c r="M53" s="6">
        <v>75</v>
      </c>
      <c r="N53" s="13"/>
      <c r="O53" s="13">
        <v>-10</v>
      </c>
      <c r="P53" s="13"/>
      <c r="Q53" s="5"/>
      <c r="R53" s="5"/>
      <c r="S53" s="5"/>
      <c r="T53" s="5"/>
      <c r="U53" s="5"/>
      <c r="V53" s="5"/>
      <c r="W53" s="5"/>
      <c r="X53" s="19"/>
      <c r="Y53" s="17" t="s">
        <v>39</v>
      </c>
      <c r="Z53" s="5">
        <v>8</v>
      </c>
      <c r="AA53" s="5">
        <v>2.57</v>
      </c>
      <c r="AB53" s="5">
        <v>7.5</v>
      </c>
      <c r="AC53" s="5">
        <v>1.98</v>
      </c>
      <c r="AD53" s="13"/>
      <c r="AE53" s="13" t="s">
        <v>40</v>
      </c>
      <c r="AF53" s="7">
        <v>9</v>
      </c>
      <c r="AG53" s="7">
        <v>2.15</v>
      </c>
      <c r="AH53" s="7">
        <f t="shared" si="5"/>
        <v>4.1860465116279073</v>
      </c>
    </row>
    <row r="54" spans="1:34" x14ac:dyDescent="0.4">
      <c r="A54" s="3"/>
      <c r="C54" s="2">
        <v>-7</v>
      </c>
      <c r="D54" s="2"/>
      <c r="E54" s="5"/>
      <c r="F54" s="5"/>
      <c r="G54" s="5">
        <v>7</v>
      </c>
      <c r="H54" s="5">
        <v>2.5</v>
      </c>
      <c r="I54" s="5"/>
      <c r="J54" s="5"/>
      <c r="K54" s="5">
        <v>2.84</v>
      </c>
      <c r="L54" s="17"/>
      <c r="M54" s="6">
        <v>75</v>
      </c>
      <c r="N54" s="13"/>
      <c r="O54" s="13">
        <v>-7</v>
      </c>
      <c r="P54" s="13"/>
      <c r="Q54" s="5"/>
      <c r="R54" s="5"/>
      <c r="S54" s="5">
        <v>7</v>
      </c>
      <c r="T54" s="5">
        <v>3.29</v>
      </c>
      <c r="U54" s="5"/>
      <c r="V54" s="5"/>
      <c r="W54" s="5">
        <f>S54/T54</f>
        <v>2.1276595744680851</v>
      </c>
      <c r="X54" s="19"/>
      <c r="Y54" s="5">
        <f>AA54*(1.029-(0.05*Z54/G56))</f>
        <v>2.8004422222222223</v>
      </c>
      <c r="Z54" s="5">
        <v>7.1</v>
      </c>
      <c r="AA54" s="5">
        <v>2.83</v>
      </c>
      <c r="AB54" s="5">
        <v>7.1</v>
      </c>
      <c r="AC54" s="5">
        <v>2.2799999999999998</v>
      </c>
      <c r="AD54" s="13"/>
      <c r="AE54" s="13"/>
      <c r="AF54" s="19"/>
      <c r="AG54" s="19"/>
      <c r="AH54" s="21"/>
    </row>
    <row r="55" spans="1:34" x14ac:dyDescent="0.4">
      <c r="A55" s="3"/>
      <c r="C55" s="2">
        <v>2</v>
      </c>
      <c r="D55" s="2"/>
      <c r="E55" s="5"/>
      <c r="F55" s="5"/>
      <c r="G55" s="5">
        <v>7</v>
      </c>
      <c r="H55" s="5">
        <v>2.0499999999999998</v>
      </c>
      <c r="I55" s="5"/>
      <c r="J55" s="5"/>
      <c r="K55" s="5">
        <v>3.4</v>
      </c>
      <c r="L55" s="17"/>
      <c r="M55" s="6">
        <v>75</v>
      </c>
      <c r="N55" s="13"/>
      <c r="O55" s="13">
        <v>2</v>
      </c>
      <c r="P55" s="13"/>
      <c r="Q55" s="5"/>
      <c r="R55" s="5"/>
      <c r="S55" s="5">
        <v>7</v>
      </c>
      <c r="T55" s="5">
        <v>2.9</v>
      </c>
      <c r="U55" s="5"/>
      <c r="V55" s="5"/>
      <c r="W55" s="5">
        <f>S55/T55</f>
        <v>2.4137931034482758</v>
      </c>
      <c r="X55" s="19"/>
      <c r="Y55" s="5">
        <f>AA55*(0.906-(0.044*Z55/G56))</f>
        <v>4.3275413333333335</v>
      </c>
      <c r="Z55" s="5">
        <v>4.3</v>
      </c>
      <c r="AA55" s="5">
        <v>4.8899999999999997</v>
      </c>
      <c r="AB55" s="5">
        <v>4.3</v>
      </c>
      <c r="AC55" s="5">
        <v>3.6</v>
      </c>
      <c r="AD55" s="13"/>
      <c r="AE55" s="13"/>
      <c r="AF55" s="19"/>
      <c r="AG55" s="19"/>
      <c r="AH55" s="21"/>
    </row>
    <row r="56" spans="1:34" x14ac:dyDescent="0.4">
      <c r="A56" s="3"/>
      <c r="C56" s="2">
        <v>7</v>
      </c>
      <c r="D56" s="2"/>
      <c r="E56" s="5"/>
      <c r="F56" s="5"/>
      <c r="G56" s="5">
        <v>9</v>
      </c>
      <c r="H56" s="5">
        <v>1.98</v>
      </c>
      <c r="I56" s="5"/>
      <c r="J56" s="5"/>
      <c r="K56" s="5">
        <v>4.55</v>
      </c>
      <c r="L56" s="17"/>
      <c r="M56" s="6">
        <v>75</v>
      </c>
      <c r="N56" s="13"/>
      <c r="O56" s="13">
        <v>7</v>
      </c>
      <c r="P56" s="13"/>
      <c r="Q56" s="5"/>
      <c r="R56" s="5"/>
      <c r="S56" s="5">
        <v>8.9</v>
      </c>
      <c r="T56" s="5">
        <v>2.94</v>
      </c>
      <c r="U56" s="5"/>
      <c r="V56" s="5"/>
      <c r="W56" s="5">
        <f>S56/T56</f>
        <v>3.0272108843537415</v>
      </c>
      <c r="X56" s="19"/>
      <c r="Y56" s="5">
        <f>K56</f>
        <v>4.55</v>
      </c>
      <c r="Z56" s="5">
        <v>2.8</v>
      </c>
      <c r="AA56" s="5">
        <v>6.21</v>
      </c>
      <c r="AB56" s="5">
        <v>2.8</v>
      </c>
      <c r="AC56" s="5">
        <v>4.72</v>
      </c>
      <c r="AD56" s="13"/>
      <c r="AE56" s="13"/>
      <c r="AF56" s="19"/>
      <c r="AG56" s="19"/>
      <c r="AH56" s="21"/>
    </row>
    <row r="57" spans="1:34" x14ac:dyDescent="0.4">
      <c r="A57" s="3"/>
      <c r="C57" s="2">
        <v>12</v>
      </c>
      <c r="D57" s="2"/>
      <c r="E57" s="5"/>
      <c r="F57" s="5"/>
      <c r="G57" s="5"/>
      <c r="H57" s="5"/>
      <c r="I57" s="5"/>
      <c r="J57" s="5"/>
      <c r="K57" s="5"/>
      <c r="L57" s="17"/>
      <c r="M57" s="6">
        <v>75</v>
      </c>
      <c r="N57" s="13"/>
      <c r="O57" s="13">
        <v>12</v>
      </c>
      <c r="P57" s="13"/>
      <c r="Q57" s="5"/>
      <c r="R57" s="5"/>
      <c r="S57" s="5"/>
      <c r="T57" s="5"/>
      <c r="U57" s="5"/>
      <c r="V57" s="5"/>
      <c r="W57" s="5"/>
      <c r="X57" s="19"/>
      <c r="Y57" s="17"/>
      <c r="Z57" s="5">
        <v>3.3</v>
      </c>
      <c r="AA57" s="5">
        <v>7.45</v>
      </c>
      <c r="AB57" s="5">
        <v>3.2</v>
      </c>
      <c r="AC57" s="5">
        <v>6.12</v>
      </c>
      <c r="AD57" s="13"/>
      <c r="AE57" s="13"/>
      <c r="AF57" s="19"/>
      <c r="AG57" s="19"/>
      <c r="AH57" s="21"/>
    </row>
    <row r="62" spans="1:34" x14ac:dyDescent="0.4">
      <c r="A62" s="47" t="s">
        <v>143</v>
      </c>
    </row>
    <row r="64" spans="1:34" x14ac:dyDescent="0.4">
      <c r="A64" s="1" t="s">
        <v>171</v>
      </c>
    </row>
    <row r="65" spans="1:1" x14ac:dyDescent="0.4">
      <c r="A65" s="1" t="s">
        <v>172</v>
      </c>
    </row>
    <row r="67" spans="1:1" x14ac:dyDescent="0.4">
      <c r="A67" s="1" t="s">
        <v>173</v>
      </c>
    </row>
    <row r="68" spans="1:1" x14ac:dyDescent="0.4">
      <c r="A68" s="1" t="s">
        <v>174</v>
      </c>
    </row>
    <row r="70" spans="1:1" x14ac:dyDescent="0.4">
      <c r="A70" s="1" t="s">
        <v>175</v>
      </c>
    </row>
    <row r="71" spans="1:1" x14ac:dyDescent="0.4">
      <c r="A71" s="1" t="s">
        <v>176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4D48-02A4-4112-910D-CECD8C3AC9CA}">
  <sheetPr>
    <tabColor rgb="FF92D050"/>
  </sheetPr>
  <dimension ref="A1:AK45"/>
  <sheetViews>
    <sheetView zoomScale="70" zoomScaleNormal="70" workbookViewId="0">
      <selection activeCell="AJ5" sqref="AJ5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8.074218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58.3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153</v>
      </c>
      <c r="B5" s="1" t="s">
        <v>154</v>
      </c>
      <c r="C5" s="4"/>
      <c r="D5" s="2"/>
      <c r="E5" s="61"/>
      <c r="F5" s="24"/>
      <c r="G5" s="7"/>
      <c r="H5" s="7"/>
      <c r="I5" s="7"/>
      <c r="J5" s="7"/>
      <c r="K5" s="7"/>
      <c r="L5" s="36"/>
      <c r="M5" s="63"/>
      <c r="N5" s="34"/>
      <c r="O5" s="64"/>
      <c r="P5" s="34"/>
      <c r="Q5" s="24"/>
      <c r="R5" s="24"/>
      <c r="S5" s="24"/>
      <c r="T5" s="24"/>
      <c r="U5" s="24"/>
      <c r="V5" s="24"/>
      <c r="W5" s="7"/>
      <c r="X5" s="43">
        <v>6</v>
      </c>
      <c r="Y5" s="36"/>
      <c r="Z5" s="24"/>
      <c r="AA5" s="24"/>
      <c r="AB5" s="24"/>
      <c r="AC5" s="24"/>
      <c r="AD5" s="34"/>
      <c r="AE5" s="2" t="s">
        <v>37</v>
      </c>
      <c r="AF5" s="66">
        <v>12.2</v>
      </c>
      <c r="AG5" s="66">
        <v>4.55</v>
      </c>
      <c r="AH5" s="66">
        <f>AF5/AG5</f>
        <v>2.6813186813186811</v>
      </c>
    </row>
    <row r="6" spans="1:37" x14ac:dyDescent="0.4">
      <c r="A6" s="3"/>
      <c r="C6" s="13">
        <v>-25</v>
      </c>
      <c r="D6" s="2"/>
      <c r="E6" s="61"/>
      <c r="F6" s="24"/>
      <c r="G6" s="69" t="s">
        <v>61</v>
      </c>
      <c r="H6" s="69" t="s">
        <v>61</v>
      </c>
      <c r="I6" s="7"/>
      <c r="J6" s="7"/>
      <c r="K6" s="68" t="s">
        <v>61</v>
      </c>
      <c r="L6" s="36"/>
      <c r="M6" s="6">
        <v>55</v>
      </c>
      <c r="N6" s="34"/>
      <c r="O6" s="2">
        <v>-25</v>
      </c>
      <c r="P6" s="34"/>
      <c r="Q6" s="24"/>
      <c r="R6" s="7"/>
      <c r="S6" s="69" t="s">
        <v>61</v>
      </c>
      <c r="T6" s="69" t="s">
        <v>61</v>
      </c>
      <c r="U6" s="7"/>
      <c r="V6" s="24"/>
      <c r="W6" s="68" t="s">
        <v>61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24"/>
      <c r="G7" s="66">
        <v>10.3</v>
      </c>
      <c r="H7" s="66">
        <v>4.55</v>
      </c>
      <c r="I7" s="7"/>
      <c r="J7" s="7"/>
      <c r="K7" s="66">
        <f>G7/H7</f>
        <v>2.2637362637362641</v>
      </c>
      <c r="L7" s="36"/>
      <c r="M7" s="6">
        <v>55</v>
      </c>
      <c r="N7" s="34"/>
      <c r="O7" s="2">
        <v>-20</v>
      </c>
      <c r="P7" s="34"/>
      <c r="Q7" s="24"/>
      <c r="R7" s="7"/>
      <c r="S7" s="66">
        <v>7.9</v>
      </c>
      <c r="T7" s="66">
        <v>5.35</v>
      </c>
      <c r="U7" s="7"/>
      <c r="V7" s="24"/>
      <c r="W7" s="66">
        <f t="shared" ref="W7:W8" si="0">S7/T7</f>
        <v>1.4766355140186918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14.4</v>
      </c>
      <c r="AG7" s="66">
        <v>4.6900000000000004</v>
      </c>
      <c r="AH7" s="66">
        <f>AF7/AG7</f>
        <v>3.0703624733475476</v>
      </c>
    </row>
    <row r="8" spans="1:37" x14ac:dyDescent="0.4">
      <c r="A8" s="3"/>
      <c r="C8" s="2">
        <v>-15</v>
      </c>
      <c r="D8" s="2"/>
      <c r="E8" s="61"/>
      <c r="F8" s="24"/>
      <c r="G8" s="66">
        <v>10.5</v>
      </c>
      <c r="H8" s="66">
        <v>4.47</v>
      </c>
      <c r="I8" s="7"/>
      <c r="J8" s="7"/>
      <c r="K8" s="66">
        <f>G8/H8</f>
        <v>2.348993288590604</v>
      </c>
      <c r="L8" s="36"/>
      <c r="M8" s="6">
        <v>55</v>
      </c>
      <c r="N8" s="34"/>
      <c r="O8" s="2">
        <v>-15</v>
      </c>
      <c r="P8" s="34"/>
      <c r="Q8" s="24"/>
      <c r="R8" s="7"/>
      <c r="S8" s="66">
        <v>8</v>
      </c>
      <c r="T8" s="66">
        <v>4.91</v>
      </c>
      <c r="U8" s="7"/>
      <c r="V8" s="24"/>
      <c r="W8" s="66">
        <f t="shared" si="0"/>
        <v>1.6293279022403258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13</v>
      </c>
      <c r="AG8" s="66">
        <v>3.42</v>
      </c>
      <c r="AH8" s="66">
        <f>AF8/AG8</f>
        <v>3.801169590643275</v>
      </c>
    </row>
    <row r="9" spans="1:37" x14ac:dyDescent="0.4">
      <c r="A9" s="3"/>
      <c r="C9" s="2">
        <v>-10</v>
      </c>
      <c r="D9" s="2"/>
      <c r="E9" s="61"/>
      <c r="F9" s="24"/>
      <c r="G9" s="69" t="s">
        <v>61</v>
      </c>
      <c r="H9" s="69" t="s">
        <v>61</v>
      </c>
      <c r="I9" s="7"/>
      <c r="J9" s="7"/>
      <c r="K9" s="68" t="s">
        <v>61</v>
      </c>
      <c r="L9" s="36"/>
      <c r="M9" s="6">
        <v>60</v>
      </c>
      <c r="N9" s="34"/>
      <c r="O9" s="2">
        <v>-10</v>
      </c>
      <c r="P9" s="34"/>
      <c r="Q9" s="24"/>
      <c r="R9" s="7"/>
      <c r="S9" s="69" t="s">
        <v>61</v>
      </c>
      <c r="T9" s="69" t="s">
        <v>61</v>
      </c>
      <c r="U9" s="7"/>
      <c r="V9" s="24"/>
      <c r="W9" s="68" t="s">
        <v>61</v>
      </c>
      <c r="X9" s="34"/>
      <c r="Y9" s="36" t="s">
        <v>39</v>
      </c>
      <c r="Z9" s="66">
        <v>10.1</v>
      </c>
      <c r="AA9" s="66">
        <v>2.87</v>
      </c>
      <c r="AB9" s="66">
        <v>10</v>
      </c>
      <c r="AC9" s="66">
        <v>1.88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24"/>
      <c r="G10" s="66">
        <v>11.7</v>
      </c>
      <c r="H10" s="66">
        <v>4.4800000000000004</v>
      </c>
      <c r="I10" s="7"/>
      <c r="J10" s="7"/>
      <c r="K10" s="66">
        <f t="shared" ref="K10:K12" si="1">G10/H10</f>
        <v>2.6116071428571423</v>
      </c>
      <c r="L10" s="36"/>
      <c r="M10" s="6">
        <v>60</v>
      </c>
      <c r="N10" s="34"/>
      <c r="O10" s="2">
        <v>-7</v>
      </c>
      <c r="P10" s="34"/>
      <c r="Q10" s="24"/>
      <c r="R10" s="7"/>
      <c r="S10" s="66">
        <v>9.1</v>
      </c>
      <c r="T10" s="66">
        <v>4.92</v>
      </c>
      <c r="U10" s="7"/>
      <c r="V10" s="24"/>
      <c r="W10" s="66">
        <f t="shared" ref="W10:W12" si="2">S10/T10</f>
        <v>1.8495934959349594</v>
      </c>
      <c r="X10" s="34"/>
      <c r="Y10" s="5">
        <f>AA10*(1.029-(0.05*Z10/G12))</f>
        <v>2.6117543749999999</v>
      </c>
      <c r="Z10" s="66">
        <v>11.5</v>
      </c>
      <c r="AA10" s="66">
        <v>2.63</v>
      </c>
      <c r="AB10" s="66">
        <v>9.5</v>
      </c>
      <c r="AC10" s="66">
        <v>2.31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24"/>
      <c r="G11" s="66">
        <v>13</v>
      </c>
      <c r="H11" s="66">
        <v>4.09</v>
      </c>
      <c r="I11" s="7"/>
      <c r="J11" s="7"/>
      <c r="K11" s="66">
        <f t="shared" si="1"/>
        <v>3.1784841075794623</v>
      </c>
      <c r="L11" s="36"/>
      <c r="M11" s="6">
        <v>60</v>
      </c>
      <c r="N11" s="34"/>
      <c r="O11" s="2">
        <v>2</v>
      </c>
      <c r="P11" s="34"/>
      <c r="Q11" s="24"/>
      <c r="R11" s="7"/>
      <c r="S11" s="66">
        <v>10</v>
      </c>
      <c r="T11" s="66">
        <v>4.46</v>
      </c>
      <c r="U11" s="7"/>
      <c r="V11" s="24"/>
      <c r="W11" s="66">
        <f t="shared" si="2"/>
        <v>2.2421524663677128</v>
      </c>
      <c r="X11" s="34"/>
      <c r="Y11" s="5">
        <f>AA11*(0.906-(0.044*Z11/G12))</f>
        <v>3.777555</v>
      </c>
      <c r="Z11" s="66">
        <v>7</v>
      </c>
      <c r="AA11" s="66">
        <v>4.26</v>
      </c>
      <c r="AB11" s="66">
        <v>7</v>
      </c>
      <c r="AC11" s="66">
        <v>3.32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24"/>
      <c r="G12" s="66">
        <v>16</v>
      </c>
      <c r="H12" s="66">
        <v>3.71</v>
      </c>
      <c r="I12" s="7"/>
      <c r="J12" s="7"/>
      <c r="K12" s="66">
        <f t="shared" si="1"/>
        <v>4.3126684636118595</v>
      </c>
      <c r="L12" s="36"/>
      <c r="M12" s="6">
        <v>60</v>
      </c>
      <c r="N12" s="34"/>
      <c r="O12" s="2">
        <v>7</v>
      </c>
      <c r="P12" s="34"/>
      <c r="Q12" s="24"/>
      <c r="R12" s="7"/>
      <c r="S12" s="66">
        <v>14.7</v>
      </c>
      <c r="T12" s="66">
        <v>5.4</v>
      </c>
      <c r="U12" s="7"/>
      <c r="V12" s="24"/>
      <c r="W12" s="66">
        <f t="shared" si="2"/>
        <v>2.7222222222222219</v>
      </c>
      <c r="X12" s="34"/>
      <c r="Y12" s="5">
        <f>K12</f>
        <v>4.3126684636118595</v>
      </c>
      <c r="Z12" s="66">
        <v>5.0999999999999996</v>
      </c>
      <c r="AA12" s="66">
        <v>6.32</v>
      </c>
      <c r="AB12" s="66">
        <v>4.8600000000000003</v>
      </c>
      <c r="AC12" s="66">
        <v>4.83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24"/>
      <c r="G13" s="26" t="s">
        <v>61</v>
      </c>
      <c r="H13" s="26" t="s">
        <v>61</v>
      </c>
      <c r="I13" s="24"/>
      <c r="J13" s="24"/>
      <c r="K13" s="26" t="s">
        <v>61</v>
      </c>
      <c r="L13" s="36"/>
      <c r="M13" s="6">
        <v>60</v>
      </c>
      <c r="N13" s="34"/>
      <c r="O13" s="2">
        <v>12</v>
      </c>
      <c r="P13" s="34"/>
      <c r="Q13" s="24"/>
      <c r="R13" s="7"/>
      <c r="S13" s="68" t="s">
        <v>61</v>
      </c>
      <c r="T13" s="68" t="s">
        <v>61</v>
      </c>
      <c r="U13" s="7"/>
      <c r="V13" s="24"/>
      <c r="W13" s="26" t="s">
        <v>61</v>
      </c>
      <c r="X13" s="34"/>
      <c r="Y13" s="36"/>
      <c r="Z13" s="66">
        <v>5.8</v>
      </c>
      <c r="AA13" s="66">
        <v>7.78</v>
      </c>
      <c r="AB13" s="66">
        <v>5.71</v>
      </c>
      <c r="AC13" s="66">
        <v>6.15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9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 t="s">
        <v>155</v>
      </c>
      <c r="B15" s="1" t="s">
        <v>154</v>
      </c>
      <c r="C15" s="4"/>
      <c r="D15" s="2"/>
      <c r="E15" s="61"/>
      <c r="F15" s="24"/>
      <c r="G15" s="24"/>
      <c r="H15" s="24"/>
      <c r="I15" s="24"/>
      <c r="J15" s="24"/>
      <c r="K15" s="24"/>
      <c r="L15" s="36"/>
      <c r="M15" s="63"/>
      <c r="N15" s="34"/>
      <c r="O15" s="64"/>
      <c r="P15" s="34"/>
      <c r="Q15" s="24"/>
      <c r="R15" s="24"/>
      <c r="S15" s="24"/>
      <c r="T15" s="24"/>
      <c r="U15" s="24"/>
      <c r="V15" s="24"/>
      <c r="W15" s="24"/>
      <c r="X15" s="43">
        <v>6</v>
      </c>
      <c r="Y15" s="36"/>
      <c r="Z15" s="24"/>
      <c r="AA15" s="24"/>
      <c r="AB15" s="24"/>
      <c r="AC15" s="24"/>
      <c r="AD15" s="34"/>
      <c r="AE15" s="2" t="s">
        <v>37</v>
      </c>
      <c r="AF15" s="66">
        <v>12.2</v>
      </c>
      <c r="AG15" s="66">
        <v>4.55</v>
      </c>
      <c r="AH15" s="66">
        <f>AF15/AG15</f>
        <v>2.6813186813186811</v>
      </c>
    </row>
    <row r="16" spans="1:37" x14ac:dyDescent="0.4">
      <c r="A16" s="3"/>
      <c r="C16" s="13">
        <v>-25</v>
      </c>
      <c r="D16" s="2"/>
      <c r="E16" s="61"/>
      <c r="F16" s="24"/>
      <c r="G16" s="69" t="s">
        <v>61</v>
      </c>
      <c r="H16" s="69" t="s">
        <v>61</v>
      </c>
      <c r="I16" s="7"/>
      <c r="J16" s="7"/>
      <c r="K16" s="68" t="s">
        <v>61</v>
      </c>
      <c r="L16" s="36"/>
      <c r="M16" s="6">
        <v>55</v>
      </c>
      <c r="N16" s="34"/>
      <c r="O16" s="2">
        <v>-25</v>
      </c>
      <c r="P16" s="34"/>
      <c r="Q16" s="24"/>
      <c r="R16" s="7"/>
      <c r="S16" s="69" t="s">
        <v>61</v>
      </c>
      <c r="T16" s="69" t="s">
        <v>61</v>
      </c>
      <c r="U16" s="7"/>
      <c r="V16" s="24"/>
      <c r="W16" s="68" t="s">
        <v>61</v>
      </c>
      <c r="X16" s="34"/>
      <c r="Y16" s="36"/>
      <c r="Z16" s="24"/>
      <c r="AA16" s="24"/>
      <c r="AB16" s="24"/>
      <c r="AC16" s="24"/>
      <c r="AD16" s="34"/>
      <c r="AE16" s="2"/>
      <c r="AF16" s="7"/>
      <c r="AG16" s="7"/>
      <c r="AH16" s="7"/>
    </row>
    <row r="17" spans="1:34" x14ac:dyDescent="0.4">
      <c r="A17" s="46"/>
      <c r="C17" s="13">
        <v>-20</v>
      </c>
      <c r="D17" s="2"/>
      <c r="E17" s="61"/>
      <c r="F17" s="24"/>
      <c r="G17" s="66">
        <v>10.3</v>
      </c>
      <c r="H17" s="66">
        <v>4.55</v>
      </c>
      <c r="I17" s="7"/>
      <c r="J17" s="7"/>
      <c r="K17" s="66">
        <f>G17/H17</f>
        <v>2.2637362637362641</v>
      </c>
      <c r="L17" s="36"/>
      <c r="M17" s="6">
        <v>55</v>
      </c>
      <c r="N17" s="34"/>
      <c r="O17" s="2">
        <v>-20</v>
      </c>
      <c r="P17" s="34"/>
      <c r="Q17" s="24"/>
      <c r="R17" s="7"/>
      <c r="S17" s="66">
        <v>7.9</v>
      </c>
      <c r="T17" s="66">
        <v>5.35</v>
      </c>
      <c r="U17" s="7"/>
      <c r="V17" s="24"/>
      <c r="W17" s="66">
        <f t="shared" ref="W17:W18" si="3">S17/T17</f>
        <v>1.4766355140186918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6">
        <v>14.4</v>
      </c>
      <c r="AG17" s="66">
        <v>4.6900000000000004</v>
      </c>
      <c r="AH17" s="66">
        <f>AF17/AG17</f>
        <v>3.0703624733475476</v>
      </c>
    </row>
    <row r="18" spans="1:34" x14ac:dyDescent="0.4">
      <c r="A18" s="3"/>
      <c r="C18" s="2">
        <v>-15</v>
      </c>
      <c r="D18" s="2"/>
      <c r="E18" s="61"/>
      <c r="F18" s="24"/>
      <c r="G18" s="66">
        <v>10.5</v>
      </c>
      <c r="H18" s="66">
        <v>4.47</v>
      </c>
      <c r="I18" s="7"/>
      <c r="J18" s="7"/>
      <c r="K18" s="66">
        <f>G18/H18</f>
        <v>2.348993288590604</v>
      </c>
      <c r="L18" s="36"/>
      <c r="M18" s="6">
        <v>55</v>
      </c>
      <c r="N18" s="34"/>
      <c r="O18" s="2">
        <v>-15</v>
      </c>
      <c r="P18" s="34"/>
      <c r="Q18" s="24"/>
      <c r="R18" s="7"/>
      <c r="S18" s="66">
        <v>8</v>
      </c>
      <c r="T18" s="66">
        <v>4.91</v>
      </c>
      <c r="U18" s="7"/>
      <c r="V18" s="24"/>
      <c r="W18" s="66">
        <f t="shared" si="3"/>
        <v>1.6293279022403258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6">
        <v>13</v>
      </c>
      <c r="AG18" s="66">
        <v>3.42</v>
      </c>
      <c r="AH18" s="66">
        <f>AF18/AG18</f>
        <v>3.801169590643275</v>
      </c>
    </row>
    <row r="19" spans="1:34" x14ac:dyDescent="0.4">
      <c r="A19" s="3"/>
      <c r="C19" s="2">
        <v>-10</v>
      </c>
      <c r="D19" s="2"/>
      <c r="E19" s="61"/>
      <c r="F19" s="24"/>
      <c r="G19" s="69" t="s">
        <v>61</v>
      </c>
      <c r="H19" s="69" t="s">
        <v>61</v>
      </c>
      <c r="I19" s="7"/>
      <c r="J19" s="7"/>
      <c r="K19" s="68" t="s">
        <v>61</v>
      </c>
      <c r="L19" s="36"/>
      <c r="M19" s="6">
        <v>60</v>
      </c>
      <c r="N19" s="34"/>
      <c r="O19" s="2">
        <v>-10</v>
      </c>
      <c r="P19" s="34"/>
      <c r="Q19" s="24"/>
      <c r="R19" s="7"/>
      <c r="S19" s="69" t="s">
        <v>61</v>
      </c>
      <c r="T19" s="69" t="s">
        <v>61</v>
      </c>
      <c r="U19" s="7"/>
      <c r="V19" s="24"/>
      <c r="W19" s="68" t="s">
        <v>61</v>
      </c>
      <c r="X19" s="34"/>
      <c r="Y19" s="36" t="s">
        <v>39</v>
      </c>
      <c r="Z19" s="66">
        <v>10.1</v>
      </c>
      <c r="AA19" s="66">
        <v>2.87</v>
      </c>
      <c r="AB19" s="66">
        <v>10</v>
      </c>
      <c r="AC19" s="66">
        <v>1.88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61"/>
      <c r="F20" s="24"/>
      <c r="G20" s="66">
        <v>11.7</v>
      </c>
      <c r="H20" s="66">
        <v>4.4800000000000004</v>
      </c>
      <c r="I20" s="7"/>
      <c r="J20" s="7"/>
      <c r="K20" s="66">
        <f t="shared" ref="K20:K22" si="4">G20/H20</f>
        <v>2.6116071428571423</v>
      </c>
      <c r="L20" s="36"/>
      <c r="M20" s="6">
        <v>60</v>
      </c>
      <c r="N20" s="34"/>
      <c r="O20" s="2">
        <v>-7</v>
      </c>
      <c r="P20" s="34"/>
      <c r="Q20" s="24"/>
      <c r="R20" s="7"/>
      <c r="S20" s="66">
        <v>9.1</v>
      </c>
      <c r="T20" s="66">
        <v>4.92</v>
      </c>
      <c r="U20" s="7"/>
      <c r="V20" s="24"/>
      <c r="W20" s="66">
        <f t="shared" ref="W20:W22" si="5">S20/T20</f>
        <v>1.8495934959349594</v>
      </c>
      <c r="X20" s="34"/>
      <c r="Y20" s="5">
        <f>AA20*(1.029-(0.05*Z20/G22))</f>
        <v>2.6117543749999999</v>
      </c>
      <c r="Z20" s="66">
        <v>11.5</v>
      </c>
      <c r="AA20" s="66">
        <v>2.63</v>
      </c>
      <c r="AB20" s="66">
        <v>9.5</v>
      </c>
      <c r="AC20" s="66">
        <v>2.31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61"/>
      <c r="F21" s="24"/>
      <c r="G21" s="66">
        <v>13</v>
      </c>
      <c r="H21" s="66">
        <v>4.09</v>
      </c>
      <c r="I21" s="7"/>
      <c r="J21" s="7"/>
      <c r="K21" s="66">
        <f t="shared" si="4"/>
        <v>3.1784841075794623</v>
      </c>
      <c r="L21" s="36"/>
      <c r="M21" s="6">
        <v>60</v>
      </c>
      <c r="N21" s="34"/>
      <c r="O21" s="2">
        <v>2</v>
      </c>
      <c r="P21" s="34"/>
      <c r="Q21" s="24"/>
      <c r="R21" s="7"/>
      <c r="S21" s="66">
        <v>10</v>
      </c>
      <c r="T21" s="66">
        <v>4.46</v>
      </c>
      <c r="U21" s="7"/>
      <c r="V21" s="24"/>
      <c r="W21" s="66">
        <f t="shared" si="5"/>
        <v>2.2421524663677128</v>
      </c>
      <c r="X21" s="34"/>
      <c r="Y21" s="5">
        <f>AA21*(0.906-(0.044*Z21/G22))</f>
        <v>3.777555</v>
      </c>
      <c r="Z21" s="66">
        <v>7</v>
      </c>
      <c r="AA21" s="66">
        <v>4.26</v>
      </c>
      <c r="AB21" s="66">
        <v>7</v>
      </c>
      <c r="AC21" s="66">
        <v>3.32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61"/>
      <c r="F22" s="24"/>
      <c r="G22" s="66">
        <v>16</v>
      </c>
      <c r="H22" s="66">
        <v>3.71</v>
      </c>
      <c r="I22" s="7"/>
      <c r="J22" s="7"/>
      <c r="K22" s="66">
        <f t="shared" si="4"/>
        <v>4.3126684636118595</v>
      </c>
      <c r="L22" s="36"/>
      <c r="M22" s="6">
        <v>60</v>
      </c>
      <c r="N22" s="34"/>
      <c r="O22" s="2">
        <v>7</v>
      </c>
      <c r="P22" s="34"/>
      <c r="Q22" s="24"/>
      <c r="R22" s="7"/>
      <c r="S22" s="66">
        <v>14.7</v>
      </c>
      <c r="T22" s="66">
        <v>5.4</v>
      </c>
      <c r="U22" s="7"/>
      <c r="V22" s="24"/>
      <c r="W22" s="66">
        <f t="shared" si="5"/>
        <v>2.7222222222222219</v>
      </c>
      <c r="X22" s="34"/>
      <c r="Y22" s="5">
        <f>K22</f>
        <v>4.3126684636118595</v>
      </c>
      <c r="Z22" s="66">
        <v>5.0999999999999996</v>
      </c>
      <c r="AA22" s="66">
        <v>6.32</v>
      </c>
      <c r="AB22" s="66">
        <v>4.8600000000000003</v>
      </c>
      <c r="AC22" s="66">
        <v>4.83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61"/>
      <c r="F23" s="24"/>
      <c r="G23" s="68" t="s">
        <v>61</v>
      </c>
      <c r="H23" s="68" t="s">
        <v>61</v>
      </c>
      <c r="I23" s="7"/>
      <c r="J23" s="7"/>
      <c r="K23" s="68" t="s">
        <v>61</v>
      </c>
      <c r="L23" s="36"/>
      <c r="M23" s="6">
        <v>60</v>
      </c>
      <c r="N23" s="34"/>
      <c r="O23" s="2">
        <v>12</v>
      </c>
      <c r="P23" s="34"/>
      <c r="Q23" s="24"/>
      <c r="R23" s="24"/>
      <c r="S23" s="26" t="s">
        <v>61</v>
      </c>
      <c r="T23" s="26" t="s">
        <v>61</v>
      </c>
      <c r="U23" s="24"/>
      <c r="V23" s="24"/>
      <c r="W23" s="26" t="s">
        <v>61</v>
      </c>
      <c r="X23" s="34"/>
      <c r="Y23" s="36"/>
      <c r="Z23" s="66">
        <v>5.8</v>
      </c>
      <c r="AA23" s="66">
        <v>7.78</v>
      </c>
      <c r="AB23" s="66">
        <v>5.71</v>
      </c>
      <c r="AC23" s="66">
        <v>6.15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9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 t="s">
        <v>156</v>
      </c>
      <c r="B25" s="1" t="s">
        <v>154</v>
      </c>
      <c r="C25" s="4"/>
      <c r="D25" s="2"/>
      <c r="E25" s="61"/>
      <c r="F25" s="24"/>
      <c r="G25" s="24"/>
      <c r="H25" s="24"/>
      <c r="I25" s="24"/>
      <c r="J25" s="24"/>
      <c r="K25" s="24"/>
      <c r="L25" s="36"/>
      <c r="M25" s="63"/>
      <c r="N25" s="34"/>
      <c r="O25" s="64"/>
      <c r="P25" s="34"/>
      <c r="Q25" s="24"/>
      <c r="R25" s="24"/>
      <c r="S25" s="24"/>
      <c r="T25" s="24"/>
      <c r="U25" s="24"/>
      <c r="V25" s="24"/>
      <c r="W25" s="24"/>
      <c r="X25" s="43">
        <v>6</v>
      </c>
      <c r="Y25" s="36"/>
      <c r="Z25" s="24"/>
      <c r="AA25" s="24"/>
      <c r="AB25" s="24"/>
      <c r="AC25" s="24"/>
      <c r="AD25" s="34"/>
      <c r="AE25" s="2" t="s">
        <v>37</v>
      </c>
      <c r="AF25" s="66">
        <v>12.2</v>
      </c>
      <c r="AG25" s="66">
        <v>4.55</v>
      </c>
      <c r="AH25" s="66">
        <f>AF25/AG25</f>
        <v>2.6813186813186811</v>
      </c>
    </row>
    <row r="26" spans="1:34" x14ac:dyDescent="0.4">
      <c r="A26" s="3"/>
      <c r="C26" s="13">
        <v>-25</v>
      </c>
      <c r="D26" s="2"/>
      <c r="E26" s="61"/>
      <c r="F26" s="24"/>
      <c r="G26" s="69" t="s">
        <v>61</v>
      </c>
      <c r="H26" s="69" t="s">
        <v>61</v>
      </c>
      <c r="I26" s="7"/>
      <c r="J26" s="7"/>
      <c r="K26" s="68" t="s">
        <v>61</v>
      </c>
      <c r="L26" s="36"/>
      <c r="M26" s="6">
        <v>55</v>
      </c>
      <c r="N26" s="34"/>
      <c r="O26" s="2">
        <v>-25</v>
      </c>
      <c r="P26" s="34"/>
      <c r="Q26" s="24"/>
      <c r="R26" s="24"/>
      <c r="S26" s="69" t="s">
        <v>61</v>
      </c>
      <c r="T26" s="69" t="s">
        <v>61</v>
      </c>
      <c r="U26" s="24"/>
      <c r="V26" s="24"/>
      <c r="W26" s="68" t="s">
        <v>61</v>
      </c>
      <c r="X26" s="34"/>
      <c r="Y26" s="36"/>
      <c r="Z26" s="24"/>
      <c r="AA26" s="24"/>
      <c r="AB26" s="24"/>
      <c r="AC26" s="24"/>
      <c r="AD26" s="34"/>
      <c r="AE26" s="2"/>
      <c r="AF26" s="7"/>
      <c r="AG26" s="7"/>
      <c r="AH26" s="7"/>
    </row>
    <row r="27" spans="1:34" x14ac:dyDescent="0.4">
      <c r="A27" s="46"/>
      <c r="C27" s="13">
        <v>-20</v>
      </c>
      <c r="D27" s="2"/>
      <c r="E27" s="61"/>
      <c r="F27" s="24"/>
      <c r="G27" s="66">
        <v>10.3</v>
      </c>
      <c r="H27" s="66">
        <v>4.55</v>
      </c>
      <c r="I27" s="7"/>
      <c r="J27" s="7"/>
      <c r="K27" s="66">
        <f>G27/H27</f>
        <v>2.2637362637362641</v>
      </c>
      <c r="L27" s="36"/>
      <c r="M27" s="6">
        <v>55</v>
      </c>
      <c r="N27" s="34"/>
      <c r="O27" s="2">
        <v>-20</v>
      </c>
      <c r="P27" s="34"/>
      <c r="Q27" s="24"/>
      <c r="R27" s="24"/>
      <c r="S27" s="66">
        <v>7.9</v>
      </c>
      <c r="T27" s="66">
        <v>5.35</v>
      </c>
      <c r="U27" s="24"/>
      <c r="V27" s="24"/>
      <c r="W27" s="66">
        <f t="shared" ref="W27:W28" si="6">S27/T27</f>
        <v>1.4766355140186918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6">
        <v>14.4</v>
      </c>
      <c r="AG27" s="66">
        <v>4.6900000000000004</v>
      </c>
      <c r="AH27" s="66">
        <f>AF27/AG27</f>
        <v>3.0703624733475476</v>
      </c>
    </row>
    <row r="28" spans="1:34" x14ac:dyDescent="0.4">
      <c r="A28" s="3"/>
      <c r="C28" s="2">
        <v>-15</v>
      </c>
      <c r="D28" s="2"/>
      <c r="E28" s="61"/>
      <c r="F28" s="24"/>
      <c r="G28" s="66">
        <v>10.5</v>
      </c>
      <c r="H28" s="66">
        <v>4.47</v>
      </c>
      <c r="I28" s="7"/>
      <c r="J28" s="7"/>
      <c r="K28" s="66">
        <f>G28/H28</f>
        <v>2.348993288590604</v>
      </c>
      <c r="L28" s="36"/>
      <c r="M28" s="6">
        <v>55</v>
      </c>
      <c r="N28" s="34"/>
      <c r="O28" s="2">
        <v>-15</v>
      </c>
      <c r="P28" s="34"/>
      <c r="Q28" s="24"/>
      <c r="R28" s="24"/>
      <c r="S28" s="66">
        <v>8</v>
      </c>
      <c r="T28" s="66">
        <v>4.91</v>
      </c>
      <c r="U28" s="24"/>
      <c r="V28" s="24"/>
      <c r="W28" s="66">
        <f t="shared" si="6"/>
        <v>1.6293279022403258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6">
        <v>13</v>
      </c>
      <c r="AG28" s="66">
        <v>3.42</v>
      </c>
      <c r="AH28" s="66">
        <f>AF28/AG28</f>
        <v>3.801169590643275</v>
      </c>
    </row>
    <row r="29" spans="1:34" x14ac:dyDescent="0.4">
      <c r="A29" s="3"/>
      <c r="C29" s="2">
        <v>-10</v>
      </c>
      <c r="D29" s="2"/>
      <c r="E29" s="61"/>
      <c r="F29" s="24"/>
      <c r="G29" s="69" t="s">
        <v>61</v>
      </c>
      <c r="H29" s="69" t="s">
        <v>61</v>
      </c>
      <c r="I29" s="7"/>
      <c r="J29" s="7"/>
      <c r="K29" s="68" t="s">
        <v>61</v>
      </c>
      <c r="L29" s="36"/>
      <c r="M29" s="6">
        <v>60</v>
      </c>
      <c r="N29" s="34"/>
      <c r="O29" s="2">
        <v>-10</v>
      </c>
      <c r="P29" s="34"/>
      <c r="Q29" s="24"/>
      <c r="R29" s="24"/>
      <c r="S29" s="69" t="s">
        <v>61</v>
      </c>
      <c r="T29" s="69" t="s">
        <v>61</v>
      </c>
      <c r="U29" s="24"/>
      <c r="V29" s="24"/>
      <c r="W29" s="68" t="s">
        <v>61</v>
      </c>
      <c r="X29" s="34"/>
      <c r="Y29" s="36" t="s">
        <v>39</v>
      </c>
      <c r="Z29" s="66">
        <v>10.1</v>
      </c>
      <c r="AA29" s="66">
        <v>2.87</v>
      </c>
      <c r="AB29" s="66">
        <v>10</v>
      </c>
      <c r="AC29" s="66">
        <v>1.88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61"/>
      <c r="F30" s="24"/>
      <c r="G30" s="66">
        <v>11.7</v>
      </c>
      <c r="H30" s="66">
        <v>4.4800000000000004</v>
      </c>
      <c r="I30" s="7"/>
      <c r="J30" s="7"/>
      <c r="K30" s="66">
        <f t="shared" ref="K30:K32" si="7">G30/H30</f>
        <v>2.6116071428571423</v>
      </c>
      <c r="L30" s="36"/>
      <c r="M30" s="6">
        <v>60</v>
      </c>
      <c r="N30" s="34"/>
      <c r="O30" s="2">
        <v>-7</v>
      </c>
      <c r="P30" s="34"/>
      <c r="Q30" s="24"/>
      <c r="R30" s="24"/>
      <c r="S30" s="66">
        <v>9.1</v>
      </c>
      <c r="T30" s="66">
        <v>4.92</v>
      </c>
      <c r="U30" s="24"/>
      <c r="V30" s="24"/>
      <c r="W30" s="66">
        <f t="shared" ref="W30:W32" si="8">S30/T30</f>
        <v>1.8495934959349594</v>
      </c>
      <c r="X30" s="34"/>
      <c r="Y30" s="5">
        <f>AA30*(1.029-(0.05*Z30/G32))</f>
        <v>2.6117543749999999</v>
      </c>
      <c r="Z30" s="66">
        <v>11.5</v>
      </c>
      <c r="AA30" s="66">
        <v>2.63</v>
      </c>
      <c r="AB30" s="66">
        <v>9.5</v>
      </c>
      <c r="AC30" s="66">
        <v>2.31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61"/>
      <c r="F31" s="24"/>
      <c r="G31" s="66">
        <v>13</v>
      </c>
      <c r="H31" s="66">
        <v>4.09</v>
      </c>
      <c r="I31" s="7"/>
      <c r="J31" s="7"/>
      <c r="K31" s="66">
        <f t="shared" si="7"/>
        <v>3.1784841075794623</v>
      </c>
      <c r="L31" s="36"/>
      <c r="M31" s="6">
        <v>60</v>
      </c>
      <c r="N31" s="34"/>
      <c r="O31" s="2">
        <v>2</v>
      </c>
      <c r="P31" s="34"/>
      <c r="Q31" s="24"/>
      <c r="R31" s="24"/>
      <c r="S31" s="66">
        <v>10</v>
      </c>
      <c r="T31" s="66">
        <v>4.46</v>
      </c>
      <c r="U31" s="24"/>
      <c r="V31" s="24"/>
      <c r="W31" s="66">
        <f t="shared" si="8"/>
        <v>2.2421524663677128</v>
      </c>
      <c r="X31" s="34"/>
      <c r="Y31" s="5">
        <f>AA31*(0.906-(0.044*Z31/G32))</f>
        <v>3.777555</v>
      </c>
      <c r="Z31" s="66">
        <v>7</v>
      </c>
      <c r="AA31" s="66">
        <v>4.26</v>
      </c>
      <c r="AB31" s="66">
        <v>7</v>
      </c>
      <c r="AC31" s="66">
        <v>3.32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61"/>
      <c r="F32" s="24"/>
      <c r="G32" s="66">
        <v>16</v>
      </c>
      <c r="H32" s="66">
        <v>3.71</v>
      </c>
      <c r="I32" s="7"/>
      <c r="J32" s="7"/>
      <c r="K32" s="66">
        <f t="shared" si="7"/>
        <v>4.3126684636118595</v>
      </c>
      <c r="L32" s="36"/>
      <c r="M32" s="6">
        <v>60</v>
      </c>
      <c r="N32" s="34"/>
      <c r="O32" s="2">
        <v>7</v>
      </c>
      <c r="P32" s="34"/>
      <c r="Q32" s="24"/>
      <c r="R32" s="24"/>
      <c r="S32" s="66">
        <v>14.7</v>
      </c>
      <c r="T32" s="66">
        <v>5.4</v>
      </c>
      <c r="U32" s="24"/>
      <c r="V32" s="24"/>
      <c r="W32" s="66">
        <f t="shared" si="8"/>
        <v>2.7222222222222219</v>
      </c>
      <c r="X32" s="34"/>
      <c r="Y32" s="5">
        <f>K32</f>
        <v>4.3126684636118595</v>
      </c>
      <c r="Z32" s="66">
        <v>5.0999999999999996</v>
      </c>
      <c r="AA32" s="66">
        <v>6.32</v>
      </c>
      <c r="AB32" s="66">
        <v>4.8600000000000003</v>
      </c>
      <c r="AC32" s="66">
        <v>4.83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61"/>
      <c r="F33" s="24"/>
      <c r="G33" s="26" t="s">
        <v>61</v>
      </c>
      <c r="H33" s="26" t="s">
        <v>61</v>
      </c>
      <c r="I33" s="24"/>
      <c r="J33" s="24"/>
      <c r="K33" s="26" t="s">
        <v>61</v>
      </c>
      <c r="L33" s="36"/>
      <c r="M33" s="6">
        <v>60</v>
      </c>
      <c r="N33" s="34"/>
      <c r="O33" s="2">
        <v>12</v>
      </c>
      <c r="P33" s="34"/>
      <c r="Q33" s="24"/>
      <c r="R33" s="24"/>
      <c r="S33" s="26" t="s">
        <v>61</v>
      </c>
      <c r="T33" s="26" t="s">
        <v>61</v>
      </c>
      <c r="U33" s="24"/>
      <c r="V33" s="24"/>
      <c r="W33" s="26" t="s">
        <v>61</v>
      </c>
      <c r="X33" s="34"/>
      <c r="Y33" s="36"/>
      <c r="Z33" s="66">
        <v>5.8</v>
      </c>
      <c r="AA33" s="66">
        <v>7.78</v>
      </c>
      <c r="AB33" s="66">
        <v>5.71</v>
      </c>
      <c r="AC33" s="66">
        <v>6.15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x14ac:dyDescent="0.4">
      <c r="A35"/>
      <c r="AF35" s="15"/>
      <c r="AG35" s="15"/>
      <c r="AH35" s="15"/>
    </row>
    <row r="36" spans="1:34" x14ac:dyDescent="0.4">
      <c r="A36" s="47" t="s">
        <v>143</v>
      </c>
    </row>
    <row r="38" spans="1:34" x14ac:dyDescent="0.4">
      <c r="A38" s="1" t="s">
        <v>177</v>
      </c>
    </row>
    <row r="39" spans="1:34" x14ac:dyDescent="0.4">
      <c r="A39" s="1" t="s">
        <v>178</v>
      </c>
    </row>
    <row r="40" spans="1:34" x14ac:dyDescent="0.4">
      <c r="A40" s="1" t="s">
        <v>179</v>
      </c>
    </row>
    <row r="41" spans="1:34" x14ac:dyDescent="0.4">
      <c r="A41"/>
    </row>
    <row r="42" spans="1:34" x14ac:dyDescent="0.4">
      <c r="A42"/>
    </row>
    <row r="44" spans="1:34" x14ac:dyDescent="0.4">
      <c r="A44"/>
    </row>
    <row r="45" spans="1:34" x14ac:dyDescent="0.4">
      <c r="A45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93AE-ECF8-4C75-82FE-4D287A73E94F}">
  <sheetPr>
    <tabColor rgb="FF00B050"/>
  </sheetPr>
  <dimension ref="A1:AK25"/>
  <sheetViews>
    <sheetView zoomScale="70" zoomScaleNormal="70" workbookViewId="0">
      <selection activeCell="A17" sqref="A17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157</v>
      </c>
      <c r="B5" s="1" t="s">
        <v>154</v>
      </c>
      <c r="C5" s="4"/>
      <c r="D5" s="2"/>
      <c r="E5" s="61"/>
      <c r="F5" s="24"/>
      <c r="G5" s="24"/>
      <c r="H5" s="24"/>
      <c r="I5" s="24"/>
      <c r="J5" s="24"/>
      <c r="K5" s="24"/>
      <c r="L5" s="36"/>
      <c r="M5" s="63"/>
      <c r="N5" s="34"/>
      <c r="O5" s="64"/>
      <c r="P5" s="34"/>
      <c r="Q5" s="24"/>
      <c r="R5" s="24"/>
      <c r="S5" s="24"/>
      <c r="T5" s="24"/>
      <c r="U5" s="24"/>
      <c r="V5" s="24"/>
      <c r="W5" s="24"/>
      <c r="X5" s="43">
        <v>6</v>
      </c>
      <c r="Y5" s="36"/>
      <c r="Z5" s="24"/>
      <c r="AA5" s="24"/>
      <c r="AB5" s="24"/>
      <c r="AC5" s="24"/>
      <c r="AD5" s="34"/>
      <c r="AE5" s="2" t="s">
        <v>37</v>
      </c>
      <c r="AF5" s="66">
        <v>12.2</v>
      </c>
      <c r="AG5" s="66">
        <v>4.55</v>
      </c>
      <c r="AH5" s="66">
        <f>AF5/AG5</f>
        <v>2.6813186813186811</v>
      </c>
    </row>
    <row r="6" spans="1:37" x14ac:dyDescent="0.4">
      <c r="A6" s="3"/>
      <c r="C6" s="13">
        <v>-25</v>
      </c>
      <c r="D6" s="2"/>
      <c r="E6" s="61"/>
      <c r="F6" s="24"/>
      <c r="G6" s="69" t="s">
        <v>61</v>
      </c>
      <c r="H6" s="69" t="s">
        <v>61</v>
      </c>
      <c r="I6" s="24"/>
      <c r="J6" s="24"/>
      <c r="K6" s="68" t="s">
        <v>61</v>
      </c>
      <c r="L6" s="36"/>
      <c r="M6" s="6">
        <v>55</v>
      </c>
      <c r="N6" s="34"/>
      <c r="O6" s="2">
        <v>-25</v>
      </c>
      <c r="P6" s="34"/>
      <c r="Q6" s="24"/>
      <c r="R6" s="24"/>
      <c r="S6" s="69" t="s">
        <v>61</v>
      </c>
      <c r="T6" s="69" t="s">
        <v>61</v>
      </c>
      <c r="U6" s="24"/>
      <c r="V6" s="24"/>
      <c r="W6" s="68" t="s">
        <v>61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24"/>
      <c r="G7" s="66">
        <v>10.3</v>
      </c>
      <c r="H7" s="66">
        <v>4.55</v>
      </c>
      <c r="I7" s="24"/>
      <c r="J7" s="24"/>
      <c r="K7" s="66">
        <f>G7/H7</f>
        <v>2.2637362637362641</v>
      </c>
      <c r="L7" s="36"/>
      <c r="M7" s="6">
        <v>55</v>
      </c>
      <c r="N7" s="34"/>
      <c r="O7" s="2">
        <v>-20</v>
      </c>
      <c r="P7" s="34"/>
      <c r="Q7" s="24"/>
      <c r="R7" s="24"/>
      <c r="S7" s="66">
        <v>7.9</v>
      </c>
      <c r="T7" s="66">
        <v>5.35</v>
      </c>
      <c r="U7" s="24"/>
      <c r="V7" s="24"/>
      <c r="W7" s="66">
        <f t="shared" ref="W7:W8" si="0">S7/T7</f>
        <v>1.4766355140186918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14.4</v>
      </c>
      <c r="AG7" s="66">
        <v>4.6900000000000004</v>
      </c>
      <c r="AH7" s="66">
        <f>AF7/AG7</f>
        <v>3.0703624733475476</v>
      </c>
    </row>
    <row r="8" spans="1:37" x14ac:dyDescent="0.4">
      <c r="A8" s="3"/>
      <c r="C8" s="2">
        <v>-15</v>
      </c>
      <c r="D8" s="2"/>
      <c r="E8" s="61"/>
      <c r="F8" s="24"/>
      <c r="G8" s="66">
        <v>10.5</v>
      </c>
      <c r="H8" s="66">
        <v>4.47</v>
      </c>
      <c r="I8" s="24"/>
      <c r="J8" s="24"/>
      <c r="K8" s="66">
        <f>G8/H8</f>
        <v>2.348993288590604</v>
      </c>
      <c r="L8" s="36"/>
      <c r="M8" s="6">
        <v>55</v>
      </c>
      <c r="N8" s="34"/>
      <c r="O8" s="2">
        <v>-15</v>
      </c>
      <c r="P8" s="34"/>
      <c r="Q8" s="24"/>
      <c r="R8" s="24"/>
      <c r="S8" s="66">
        <v>8</v>
      </c>
      <c r="T8" s="66">
        <v>4.91</v>
      </c>
      <c r="U8" s="24"/>
      <c r="V8" s="24"/>
      <c r="W8" s="66">
        <f t="shared" si="0"/>
        <v>1.6293279022403258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13</v>
      </c>
      <c r="AG8" s="66">
        <v>3.42</v>
      </c>
      <c r="AH8" s="66">
        <f>AF8/AG8</f>
        <v>3.801169590643275</v>
      </c>
    </row>
    <row r="9" spans="1:37" x14ac:dyDescent="0.4">
      <c r="A9" s="3"/>
      <c r="C9" s="2">
        <v>-10</v>
      </c>
      <c r="D9" s="2"/>
      <c r="E9" s="61"/>
      <c r="F9" s="24"/>
      <c r="G9" s="69" t="s">
        <v>61</v>
      </c>
      <c r="H9" s="69" t="s">
        <v>61</v>
      </c>
      <c r="I9" s="24"/>
      <c r="J9" s="24"/>
      <c r="K9" s="68" t="s">
        <v>61</v>
      </c>
      <c r="L9" s="36"/>
      <c r="M9" s="6">
        <v>60</v>
      </c>
      <c r="N9" s="34"/>
      <c r="O9" s="2">
        <v>-10</v>
      </c>
      <c r="P9" s="34"/>
      <c r="Q9" s="24"/>
      <c r="R9" s="24"/>
      <c r="S9" s="69" t="s">
        <v>61</v>
      </c>
      <c r="T9" s="69" t="s">
        <v>61</v>
      </c>
      <c r="U9" s="24"/>
      <c r="V9" s="24"/>
      <c r="W9" s="68" t="s">
        <v>61</v>
      </c>
      <c r="X9" s="34"/>
      <c r="Y9" s="36" t="s">
        <v>39</v>
      </c>
      <c r="Z9" s="66">
        <v>10.1</v>
      </c>
      <c r="AA9" s="66">
        <v>2.87</v>
      </c>
      <c r="AB9" s="66">
        <v>10</v>
      </c>
      <c r="AC9" s="66">
        <v>1.88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24"/>
      <c r="G10" s="66">
        <v>11.7</v>
      </c>
      <c r="H10" s="66">
        <v>4.4800000000000004</v>
      </c>
      <c r="I10" s="24"/>
      <c r="J10" s="24"/>
      <c r="K10" s="66">
        <f t="shared" ref="K10:K12" si="1">G10/H10</f>
        <v>2.6116071428571423</v>
      </c>
      <c r="L10" s="36"/>
      <c r="M10" s="6">
        <v>60</v>
      </c>
      <c r="N10" s="34"/>
      <c r="O10" s="2">
        <v>-7</v>
      </c>
      <c r="P10" s="34"/>
      <c r="Q10" s="24"/>
      <c r="R10" s="24"/>
      <c r="S10" s="66">
        <v>9.1</v>
      </c>
      <c r="T10" s="66">
        <v>4.92</v>
      </c>
      <c r="U10" s="24"/>
      <c r="V10" s="24"/>
      <c r="W10" s="66">
        <f t="shared" ref="W10:W12" si="2">S10/T10</f>
        <v>1.8495934959349594</v>
      </c>
      <c r="X10" s="34"/>
      <c r="Y10" s="5">
        <f>AA10*(1.029-(0.05*Z10/G12))</f>
        <v>2.6117543749999999</v>
      </c>
      <c r="Z10" s="66">
        <v>11.5</v>
      </c>
      <c r="AA10" s="66">
        <v>2.63</v>
      </c>
      <c r="AB10" s="66">
        <v>9.5</v>
      </c>
      <c r="AC10" s="66">
        <v>2.31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24"/>
      <c r="G11" s="66">
        <v>13</v>
      </c>
      <c r="H11" s="66">
        <v>4.09</v>
      </c>
      <c r="I11" s="24"/>
      <c r="J11" s="24"/>
      <c r="K11" s="66">
        <f t="shared" si="1"/>
        <v>3.1784841075794623</v>
      </c>
      <c r="L11" s="36"/>
      <c r="M11" s="6">
        <v>60</v>
      </c>
      <c r="N11" s="34"/>
      <c r="O11" s="2">
        <v>2</v>
      </c>
      <c r="P11" s="34"/>
      <c r="Q11" s="24"/>
      <c r="R11" s="24"/>
      <c r="S11" s="66">
        <v>10</v>
      </c>
      <c r="T11" s="66">
        <v>4.46</v>
      </c>
      <c r="U11" s="24"/>
      <c r="V11" s="24"/>
      <c r="W11" s="66">
        <f t="shared" si="2"/>
        <v>2.2421524663677128</v>
      </c>
      <c r="X11" s="34"/>
      <c r="Y11" s="5">
        <f>AA11*(0.906-(0.044*Z11/G12))</f>
        <v>3.777555</v>
      </c>
      <c r="Z11" s="66">
        <v>7</v>
      </c>
      <c r="AA11" s="66">
        <v>4.26</v>
      </c>
      <c r="AB11" s="66">
        <v>7</v>
      </c>
      <c r="AC11" s="66">
        <v>3.32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24"/>
      <c r="G12" s="66">
        <v>16</v>
      </c>
      <c r="H12" s="66">
        <v>3.71</v>
      </c>
      <c r="I12" s="24"/>
      <c r="J12" s="24"/>
      <c r="K12" s="66">
        <f t="shared" si="1"/>
        <v>4.3126684636118595</v>
      </c>
      <c r="L12" s="36"/>
      <c r="M12" s="6">
        <v>60</v>
      </c>
      <c r="N12" s="34"/>
      <c r="O12" s="2">
        <v>7</v>
      </c>
      <c r="P12" s="34"/>
      <c r="Q12" s="24"/>
      <c r="R12" s="24"/>
      <c r="S12" s="66">
        <v>14.7</v>
      </c>
      <c r="T12" s="66">
        <v>5.4</v>
      </c>
      <c r="U12" s="24"/>
      <c r="V12" s="24"/>
      <c r="W12" s="66">
        <f t="shared" si="2"/>
        <v>2.7222222222222219</v>
      </c>
      <c r="X12" s="34"/>
      <c r="Y12" s="5">
        <f>K12</f>
        <v>4.3126684636118595</v>
      </c>
      <c r="Z12" s="66">
        <v>5.0999999999999996</v>
      </c>
      <c r="AA12" s="66">
        <v>6.32</v>
      </c>
      <c r="AB12" s="66">
        <v>4.8600000000000003</v>
      </c>
      <c r="AC12" s="66">
        <v>4.83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24"/>
      <c r="G13" s="26" t="s">
        <v>61</v>
      </c>
      <c r="H13" s="26" t="s">
        <v>61</v>
      </c>
      <c r="I13" s="24"/>
      <c r="J13" s="24"/>
      <c r="K13" s="26" t="s">
        <v>61</v>
      </c>
      <c r="L13" s="36"/>
      <c r="M13" s="6">
        <v>60</v>
      </c>
      <c r="N13" s="34"/>
      <c r="O13" s="2">
        <v>12</v>
      </c>
      <c r="P13" s="34"/>
      <c r="Q13" s="24"/>
      <c r="R13" s="24"/>
      <c r="S13" s="26" t="s">
        <v>61</v>
      </c>
      <c r="T13" s="26" t="s">
        <v>61</v>
      </c>
      <c r="U13" s="24"/>
      <c r="V13" s="24"/>
      <c r="W13" s="29" t="s">
        <v>61</v>
      </c>
      <c r="X13" s="34"/>
      <c r="Y13" s="36"/>
      <c r="Z13" s="66">
        <v>5.8</v>
      </c>
      <c r="AA13" s="66">
        <v>7.78</v>
      </c>
      <c r="AB13" s="66">
        <v>5.71</v>
      </c>
      <c r="AC13" s="66">
        <v>6.15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9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/>
      <c r="AF15" s="15"/>
      <c r="AG15" s="15"/>
      <c r="AH15" s="15"/>
    </row>
    <row r="16" spans="1:37" x14ac:dyDescent="0.4">
      <c r="A16" s="47" t="s">
        <v>41</v>
      </c>
    </row>
    <row r="18" spans="1:1" x14ac:dyDescent="0.4">
      <c r="A18"/>
    </row>
    <row r="19" spans="1:1" x14ac:dyDescent="0.4">
      <c r="A19"/>
    </row>
    <row r="21" spans="1:1" x14ac:dyDescent="0.4">
      <c r="A21"/>
    </row>
    <row r="22" spans="1:1" x14ac:dyDescent="0.4">
      <c r="A22"/>
    </row>
    <row r="24" spans="1:1" x14ac:dyDescent="0.4">
      <c r="A24"/>
    </row>
    <row r="25" spans="1:1" x14ac:dyDescent="0.4">
      <c r="A25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0901-0BE5-44DB-A68C-CE6E5ACE8A60}">
  <sheetPr>
    <tabColor rgb="FF00B0F0"/>
  </sheetPr>
  <dimension ref="A1:AK55"/>
  <sheetViews>
    <sheetView zoomScale="70" zoomScaleNormal="70" workbookViewId="0">
      <selection activeCell="K51" sqref="K51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149</v>
      </c>
      <c r="B5" s="1" t="s">
        <v>161</v>
      </c>
      <c r="C5" s="4"/>
      <c r="D5" s="2"/>
      <c r="E5" s="61"/>
      <c r="F5" s="24"/>
      <c r="G5" s="24"/>
      <c r="H5" s="24"/>
      <c r="I5" s="24"/>
      <c r="J5" s="24"/>
      <c r="K5" s="24"/>
      <c r="L5" s="36"/>
      <c r="M5" s="27"/>
      <c r="N5" s="34"/>
      <c r="O5" s="64"/>
      <c r="P5" s="34"/>
      <c r="Q5" s="24"/>
      <c r="R5" s="24"/>
      <c r="S5" s="24"/>
      <c r="T5" s="24"/>
      <c r="U5" s="24"/>
      <c r="V5" s="24"/>
      <c r="W5" s="24"/>
      <c r="X5" s="43">
        <v>3</v>
      </c>
      <c r="Y5" s="36"/>
      <c r="Z5" s="24"/>
      <c r="AA5" s="24"/>
      <c r="AB5" s="24"/>
      <c r="AC5" s="24"/>
      <c r="AD5" s="34"/>
      <c r="AE5" s="2" t="s">
        <v>37</v>
      </c>
      <c r="AF5" s="66">
        <v>12</v>
      </c>
      <c r="AG5" s="66">
        <v>3.7</v>
      </c>
      <c r="AH5" s="66">
        <f>AF5/AG5</f>
        <v>3.243243243243243</v>
      </c>
      <c r="AI5" t="s">
        <v>163</v>
      </c>
    </row>
    <row r="6" spans="1:37" x14ac:dyDescent="0.4">
      <c r="A6" s="3"/>
      <c r="C6" s="13">
        <v>-25</v>
      </c>
      <c r="D6" s="2"/>
      <c r="E6" s="61"/>
      <c r="F6" s="7"/>
      <c r="G6" s="66">
        <v>7.2</v>
      </c>
      <c r="H6" s="66">
        <v>3.85</v>
      </c>
      <c r="I6" s="7"/>
      <c r="J6" s="24"/>
      <c r="K6" s="66">
        <f>G6/H6</f>
        <v>1.8701298701298701</v>
      </c>
      <c r="L6" s="36"/>
      <c r="M6" s="6">
        <v>55</v>
      </c>
      <c r="N6" s="34"/>
      <c r="O6" s="2">
        <v>-25</v>
      </c>
      <c r="P6" s="34"/>
      <c r="Q6" s="24"/>
      <c r="R6" s="7"/>
      <c r="S6" s="66">
        <v>7.1</v>
      </c>
      <c r="T6" s="66">
        <v>5.68</v>
      </c>
      <c r="U6" s="7"/>
      <c r="V6" s="24"/>
      <c r="W6" s="66">
        <f>S6/T6</f>
        <v>1.25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7"/>
      <c r="G7" s="66">
        <v>8.1</v>
      </c>
      <c r="H7" s="66">
        <v>3.85</v>
      </c>
      <c r="I7" s="7"/>
      <c r="J7" s="24"/>
      <c r="K7" s="66">
        <f t="shared" ref="K7:K8" si="0">G7/H7</f>
        <v>2.1038961038961039</v>
      </c>
      <c r="L7" s="36"/>
      <c r="M7" s="6">
        <v>65</v>
      </c>
      <c r="N7" s="34"/>
      <c r="O7" s="2">
        <v>-20</v>
      </c>
      <c r="P7" s="34"/>
      <c r="Q7" s="24"/>
      <c r="R7" s="7"/>
      <c r="S7" s="66">
        <v>7.8</v>
      </c>
      <c r="T7" s="66">
        <v>5.21</v>
      </c>
      <c r="U7" s="7"/>
      <c r="V7" s="24"/>
      <c r="W7" s="66">
        <f t="shared" ref="W7:W8" si="1">S7/T7</f>
        <v>1.4971209213051824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15</v>
      </c>
      <c r="AG7" s="66">
        <v>3.9</v>
      </c>
      <c r="AH7" s="66">
        <f>AF7/AG7</f>
        <v>3.8461538461538463</v>
      </c>
    </row>
    <row r="8" spans="1:37" x14ac:dyDescent="0.4">
      <c r="A8" s="3"/>
      <c r="C8" s="2">
        <v>-15</v>
      </c>
      <c r="D8" s="2"/>
      <c r="E8" s="61"/>
      <c r="F8" s="7"/>
      <c r="G8" s="66">
        <v>9.4</v>
      </c>
      <c r="H8" s="66">
        <v>3.78</v>
      </c>
      <c r="I8" s="7"/>
      <c r="J8" s="24"/>
      <c r="K8" s="66">
        <f t="shared" si="0"/>
        <v>2.486772486772487</v>
      </c>
      <c r="L8" s="36"/>
      <c r="M8" s="6">
        <v>75</v>
      </c>
      <c r="N8" s="34"/>
      <c r="O8" s="2">
        <v>-15</v>
      </c>
      <c r="P8" s="34"/>
      <c r="Q8" s="24"/>
      <c r="R8" s="7"/>
      <c r="S8" s="66">
        <v>8.8000000000000007</v>
      </c>
      <c r="T8" s="66">
        <v>5.2</v>
      </c>
      <c r="U8" s="7"/>
      <c r="V8" s="24"/>
      <c r="W8" s="66">
        <f t="shared" si="1"/>
        <v>1.6923076923076923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12</v>
      </c>
      <c r="AG8" s="66">
        <v>2.4</v>
      </c>
      <c r="AH8" s="66">
        <f>AF8/AG8</f>
        <v>5</v>
      </c>
    </row>
    <row r="9" spans="1:37" x14ac:dyDescent="0.4">
      <c r="A9" s="3"/>
      <c r="C9" s="2">
        <v>-10</v>
      </c>
      <c r="D9" s="2"/>
      <c r="E9" s="61"/>
      <c r="F9" s="7"/>
      <c r="G9" s="43"/>
      <c r="H9" s="43"/>
      <c r="I9" s="7"/>
      <c r="J9" s="24"/>
      <c r="K9" s="29" t="s">
        <v>61</v>
      </c>
      <c r="L9" s="36"/>
      <c r="M9" s="6">
        <v>75</v>
      </c>
      <c r="N9" s="34"/>
      <c r="O9" s="2">
        <v>-10</v>
      </c>
      <c r="P9" s="34"/>
      <c r="Q9" s="24"/>
      <c r="R9" s="7"/>
      <c r="S9" s="43"/>
      <c r="T9" s="43"/>
      <c r="U9" s="7"/>
      <c r="V9" s="24"/>
      <c r="W9" s="29" t="s">
        <v>61</v>
      </c>
      <c r="X9" s="34"/>
      <c r="Y9" s="36" t="s">
        <v>39</v>
      </c>
      <c r="Z9" s="66">
        <v>10</v>
      </c>
      <c r="AA9" s="66">
        <v>2.76</v>
      </c>
      <c r="AB9" s="66">
        <v>9.8000000000000007</v>
      </c>
      <c r="AC9" s="66">
        <v>1.83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7"/>
      <c r="G10" s="66">
        <v>10.5</v>
      </c>
      <c r="H10" s="66">
        <v>3.5</v>
      </c>
      <c r="I10" s="7"/>
      <c r="J10" s="24"/>
      <c r="K10" s="66">
        <f>G10/H10</f>
        <v>3</v>
      </c>
      <c r="L10" s="36"/>
      <c r="M10" s="6">
        <v>75</v>
      </c>
      <c r="N10" s="34"/>
      <c r="O10" s="2">
        <v>-7</v>
      </c>
      <c r="P10" s="34"/>
      <c r="Q10" s="24"/>
      <c r="R10" s="7"/>
      <c r="S10" s="66">
        <v>10</v>
      </c>
      <c r="T10" s="66">
        <v>5.08</v>
      </c>
      <c r="U10" s="7"/>
      <c r="V10" s="24"/>
      <c r="W10" s="66">
        <f>S10/T10</f>
        <v>1.9685039370078741</v>
      </c>
      <c r="X10" s="34"/>
      <c r="Y10" s="5">
        <f>AA10*(1.029-(0.05*Z10/G12))</f>
        <v>2.9001124324324321</v>
      </c>
      <c r="Z10" s="66">
        <v>10.6</v>
      </c>
      <c r="AA10" s="66">
        <v>2.92</v>
      </c>
      <c r="AB10" s="66">
        <v>10</v>
      </c>
      <c r="AC10" s="66">
        <v>2.04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7"/>
      <c r="G11" s="66">
        <v>12.5</v>
      </c>
      <c r="H11" s="66">
        <v>3.71</v>
      </c>
      <c r="I11" s="7"/>
      <c r="J11" s="24"/>
      <c r="K11" s="66">
        <f t="shared" ref="K11:K12" si="2">G11/H11</f>
        <v>3.3692722371967654</v>
      </c>
      <c r="L11" s="36"/>
      <c r="M11" s="6">
        <v>75</v>
      </c>
      <c r="N11" s="34"/>
      <c r="O11" s="2">
        <v>2</v>
      </c>
      <c r="P11" s="34"/>
      <c r="Q11" s="24"/>
      <c r="R11" s="7"/>
      <c r="S11" s="66">
        <v>12</v>
      </c>
      <c r="T11" s="66">
        <v>5.29</v>
      </c>
      <c r="U11" s="7"/>
      <c r="V11" s="24"/>
      <c r="W11" s="66">
        <f t="shared" ref="W11:W12" si="3">S11/T11</f>
        <v>2.2684310018903591</v>
      </c>
      <c r="X11" s="34"/>
      <c r="Y11" s="5">
        <f>AA11*(0.906-(0.044*Z11/G12))</f>
        <v>4.0698413513513518</v>
      </c>
      <c r="Z11" s="66">
        <v>6.5</v>
      </c>
      <c r="AA11" s="66">
        <v>4.59</v>
      </c>
      <c r="AB11" s="66">
        <v>6.5</v>
      </c>
      <c r="AC11" s="66">
        <v>3.56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7"/>
      <c r="G12" s="66">
        <v>14.8</v>
      </c>
      <c r="H12" s="66">
        <v>3.14</v>
      </c>
      <c r="I12" s="7"/>
      <c r="J12" s="24"/>
      <c r="K12" s="66">
        <f t="shared" si="2"/>
        <v>4.7133757961783438</v>
      </c>
      <c r="L12" s="36"/>
      <c r="M12" s="6">
        <v>75</v>
      </c>
      <c r="N12" s="34"/>
      <c r="O12" s="2">
        <v>7</v>
      </c>
      <c r="P12" s="34"/>
      <c r="Q12" s="24"/>
      <c r="R12" s="7"/>
      <c r="S12" s="66">
        <v>14.1</v>
      </c>
      <c r="T12" s="66">
        <v>4.67</v>
      </c>
      <c r="U12" s="7"/>
      <c r="V12" s="24"/>
      <c r="W12" s="66">
        <f t="shared" si="3"/>
        <v>3.0192719486081372</v>
      </c>
      <c r="X12" s="34"/>
      <c r="Y12" s="5">
        <f>K12</f>
        <v>4.7133757961783438</v>
      </c>
      <c r="Z12" s="66">
        <v>4.8</v>
      </c>
      <c r="AA12" s="66">
        <v>5.98</v>
      </c>
      <c r="AB12" s="66">
        <v>4.7</v>
      </c>
      <c r="AC12" s="66">
        <v>4.5999999999999996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7"/>
      <c r="G13" s="68" t="s">
        <v>61</v>
      </c>
      <c r="H13" s="68" t="s">
        <v>61</v>
      </c>
      <c r="I13" s="7"/>
      <c r="J13" s="24"/>
      <c r="K13" s="26" t="s">
        <v>61</v>
      </c>
      <c r="L13" s="36"/>
      <c r="M13" s="6">
        <v>75</v>
      </c>
      <c r="N13" s="34"/>
      <c r="O13" s="2">
        <v>12</v>
      </c>
      <c r="P13" s="34"/>
      <c r="Q13" s="24"/>
      <c r="R13" s="24"/>
      <c r="S13" s="26" t="s">
        <v>61</v>
      </c>
      <c r="T13" s="26" t="s">
        <v>61</v>
      </c>
      <c r="U13" s="24"/>
      <c r="V13" s="24"/>
      <c r="W13" s="26" t="s">
        <v>61</v>
      </c>
      <c r="X13" s="34"/>
      <c r="Y13" s="36"/>
      <c r="Z13" s="66">
        <v>5.5</v>
      </c>
      <c r="AA13" s="66">
        <v>7.54</v>
      </c>
      <c r="AB13" s="66">
        <v>5.2</v>
      </c>
      <c r="AC13" s="66">
        <v>5.52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30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 t="s">
        <v>150</v>
      </c>
      <c r="B15" s="1" t="s">
        <v>161</v>
      </c>
      <c r="C15" s="4"/>
      <c r="D15" s="2"/>
      <c r="E15" s="61"/>
      <c r="F15" s="24"/>
      <c r="G15" s="24"/>
      <c r="H15" s="24"/>
      <c r="I15" s="24"/>
      <c r="J15" s="24"/>
      <c r="K15" s="24"/>
      <c r="L15" s="36"/>
      <c r="M15" s="27"/>
      <c r="N15" s="34"/>
      <c r="O15" s="64"/>
      <c r="P15" s="34"/>
      <c r="Q15" s="24"/>
      <c r="R15" s="24"/>
      <c r="S15" s="24"/>
      <c r="T15" s="24"/>
      <c r="U15" s="24"/>
      <c r="V15" s="24"/>
      <c r="W15" s="24"/>
      <c r="X15" s="43">
        <v>3</v>
      </c>
      <c r="Y15" s="36"/>
      <c r="Z15" s="24"/>
      <c r="AA15" s="24"/>
      <c r="AB15" s="24"/>
      <c r="AC15" s="24"/>
      <c r="AD15" s="34"/>
      <c r="AE15" s="2" t="s">
        <v>37</v>
      </c>
      <c r="AF15" s="66">
        <v>12</v>
      </c>
      <c r="AG15" s="66">
        <v>3.7</v>
      </c>
      <c r="AH15" s="66">
        <f>AF15/AG15</f>
        <v>3.243243243243243</v>
      </c>
    </row>
    <row r="16" spans="1:37" x14ac:dyDescent="0.4">
      <c r="A16" s="3"/>
      <c r="C16" s="13">
        <v>-25</v>
      </c>
      <c r="D16" s="2"/>
      <c r="E16" s="61"/>
      <c r="F16" s="24"/>
      <c r="G16" s="66">
        <v>7.2</v>
      </c>
      <c r="H16" s="66">
        <v>3.85</v>
      </c>
      <c r="I16" s="24"/>
      <c r="J16" s="24"/>
      <c r="K16" s="66">
        <f>G16/H16</f>
        <v>1.8701298701298701</v>
      </c>
      <c r="L16" s="36"/>
      <c r="M16" s="6">
        <v>55</v>
      </c>
      <c r="N16" s="34"/>
      <c r="O16" s="2">
        <v>-25</v>
      </c>
      <c r="P16" s="34"/>
      <c r="Q16" s="24"/>
      <c r="R16" s="24"/>
      <c r="S16" s="66">
        <v>7.1</v>
      </c>
      <c r="T16" s="66">
        <v>5.68</v>
      </c>
      <c r="U16" s="7"/>
      <c r="V16" s="24"/>
      <c r="W16" s="66">
        <f>S16/T16</f>
        <v>1.25</v>
      </c>
      <c r="X16" s="34"/>
      <c r="Y16" s="36"/>
      <c r="Z16" s="24"/>
      <c r="AA16" s="24"/>
      <c r="AB16" s="24"/>
      <c r="AC16" s="24"/>
      <c r="AD16" s="34"/>
      <c r="AE16" s="2"/>
      <c r="AF16" s="7"/>
      <c r="AG16" s="7"/>
      <c r="AH16" s="7"/>
    </row>
    <row r="17" spans="1:34" x14ac:dyDescent="0.4">
      <c r="A17" s="46"/>
      <c r="C17" s="13">
        <v>-20</v>
      </c>
      <c r="D17" s="2"/>
      <c r="E17" s="61"/>
      <c r="F17" s="24"/>
      <c r="G17" s="66">
        <v>8.1</v>
      </c>
      <c r="H17" s="66">
        <v>3.85</v>
      </c>
      <c r="I17" s="24"/>
      <c r="J17" s="24"/>
      <c r="K17" s="66">
        <f t="shared" ref="K17:K18" si="4">G17/H17</f>
        <v>2.1038961038961039</v>
      </c>
      <c r="L17" s="36"/>
      <c r="M17" s="6">
        <v>65</v>
      </c>
      <c r="N17" s="34"/>
      <c r="O17" s="2">
        <v>-20</v>
      </c>
      <c r="P17" s="34"/>
      <c r="Q17" s="24"/>
      <c r="R17" s="24"/>
      <c r="S17" s="66">
        <v>7.8</v>
      </c>
      <c r="T17" s="66">
        <v>5.21</v>
      </c>
      <c r="U17" s="7"/>
      <c r="V17" s="24"/>
      <c r="W17" s="66">
        <f t="shared" ref="W17:W18" si="5">S17/T17</f>
        <v>1.4971209213051824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6">
        <v>15</v>
      </c>
      <c r="AG17" s="66">
        <v>3.9</v>
      </c>
      <c r="AH17" s="66">
        <f>AF17/AG17</f>
        <v>3.8461538461538463</v>
      </c>
    </row>
    <row r="18" spans="1:34" x14ac:dyDescent="0.4">
      <c r="A18" s="3"/>
      <c r="C18" s="2">
        <v>-15</v>
      </c>
      <c r="D18" s="2"/>
      <c r="E18" s="61"/>
      <c r="F18" s="24"/>
      <c r="G18" s="66">
        <v>9.4</v>
      </c>
      <c r="H18" s="66">
        <v>3.78</v>
      </c>
      <c r="I18" s="24"/>
      <c r="J18" s="24"/>
      <c r="K18" s="66">
        <f t="shared" si="4"/>
        <v>2.486772486772487</v>
      </c>
      <c r="L18" s="36"/>
      <c r="M18" s="6">
        <v>75</v>
      </c>
      <c r="N18" s="34"/>
      <c r="O18" s="2">
        <v>-15</v>
      </c>
      <c r="P18" s="34"/>
      <c r="Q18" s="24"/>
      <c r="R18" s="24"/>
      <c r="S18" s="66">
        <v>8.8000000000000007</v>
      </c>
      <c r="T18" s="66">
        <v>5.2</v>
      </c>
      <c r="U18" s="7"/>
      <c r="V18" s="24"/>
      <c r="W18" s="66">
        <f t="shared" si="5"/>
        <v>1.6923076923076923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6">
        <v>12</v>
      </c>
      <c r="AG18" s="66">
        <v>2.4</v>
      </c>
      <c r="AH18" s="66">
        <f>AF18/AG18</f>
        <v>5</v>
      </c>
    </row>
    <row r="19" spans="1:34" x14ac:dyDescent="0.4">
      <c r="A19" s="3"/>
      <c r="C19" s="2">
        <v>-10</v>
      </c>
      <c r="D19" s="2"/>
      <c r="E19" s="61"/>
      <c r="F19" s="24"/>
      <c r="G19" s="43"/>
      <c r="H19" s="43"/>
      <c r="I19" s="24"/>
      <c r="J19" s="24"/>
      <c r="K19" s="29" t="s">
        <v>61</v>
      </c>
      <c r="L19" s="36"/>
      <c r="M19" s="6">
        <v>75</v>
      </c>
      <c r="N19" s="34"/>
      <c r="O19" s="2">
        <v>-10</v>
      </c>
      <c r="P19" s="34"/>
      <c r="Q19" s="24"/>
      <c r="R19" s="24"/>
      <c r="S19" s="43"/>
      <c r="T19" s="43"/>
      <c r="U19" s="7"/>
      <c r="V19" s="24"/>
      <c r="W19" s="29" t="s">
        <v>61</v>
      </c>
      <c r="X19" s="34"/>
      <c r="Y19" s="36" t="s">
        <v>39</v>
      </c>
      <c r="Z19" s="66">
        <v>10</v>
      </c>
      <c r="AA19" s="66">
        <v>2.76</v>
      </c>
      <c r="AB19" s="66">
        <v>9.8000000000000007</v>
      </c>
      <c r="AC19" s="66">
        <v>1.83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61"/>
      <c r="F20" s="24"/>
      <c r="G20" s="66">
        <v>10.5</v>
      </c>
      <c r="H20" s="66">
        <v>3.5</v>
      </c>
      <c r="I20" s="24"/>
      <c r="J20" s="24"/>
      <c r="K20" s="66">
        <f>G20/H20</f>
        <v>3</v>
      </c>
      <c r="L20" s="36"/>
      <c r="M20" s="6">
        <v>75</v>
      </c>
      <c r="N20" s="34"/>
      <c r="O20" s="2">
        <v>-7</v>
      </c>
      <c r="P20" s="34"/>
      <c r="Q20" s="24"/>
      <c r="R20" s="24"/>
      <c r="S20" s="66">
        <v>10</v>
      </c>
      <c r="T20" s="66">
        <v>5.08</v>
      </c>
      <c r="U20" s="7"/>
      <c r="V20" s="24"/>
      <c r="W20" s="66">
        <f>S20/T20</f>
        <v>1.9685039370078741</v>
      </c>
      <c r="X20" s="34"/>
      <c r="Y20" s="5">
        <f>AA20*(1.029-(0.05*Z20/G22))</f>
        <v>2.9001124324324321</v>
      </c>
      <c r="Z20" s="66">
        <v>10.6</v>
      </c>
      <c r="AA20" s="66">
        <v>2.92</v>
      </c>
      <c r="AB20" s="66">
        <v>10</v>
      </c>
      <c r="AC20" s="66">
        <v>2.04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61"/>
      <c r="F21" s="24"/>
      <c r="G21" s="66">
        <v>12.5</v>
      </c>
      <c r="H21" s="66">
        <v>3.71</v>
      </c>
      <c r="I21" s="24"/>
      <c r="J21" s="24"/>
      <c r="K21" s="66">
        <f t="shared" ref="K21:K22" si="6">G21/H21</f>
        <v>3.3692722371967654</v>
      </c>
      <c r="L21" s="36"/>
      <c r="M21" s="6">
        <v>75</v>
      </c>
      <c r="N21" s="34"/>
      <c r="O21" s="2">
        <v>2</v>
      </c>
      <c r="P21" s="34"/>
      <c r="Q21" s="24"/>
      <c r="R21" s="24"/>
      <c r="S21" s="66">
        <v>12</v>
      </c>
      <c r="T21" s="66">
        <v>5.29</v>
      </c>
      <c r="U21" s="7"/>
      <c r="V21" s="24"/>
      <c r="W21" s="66">
        <f t="shared" ref="W21:W22" si="7">S21/T21</f>
        <v>2.2684310018903591</v>
      </c>
      <c r="X21" s="34"/>
      <c r="Y21" s="5">
        <f>AA21*(0.906-(0.044*Z21/G22))</f>
        <v>4.0698413513513518</v>
      </c>
      <c r="Z21" s="66">
        <v>6.5</v>
      </c>
      <c r="AA21" s="66">
        <v>4.59</v>
      </c>
      <c r="AB21" s="66">
        <v>6.5</v>
      </c>
      <c r="AC21" s="66">
        <v>3.56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61"/>
      <c r="F22" s="24"/>
      <c r="G22" s="66">
        <v>14.8</v>
      </c>
      <c r="H22" s="66">
        <v>3.14</v>
      </c>
      <c r="I22" s="24"/>
      <c r="J22" s="24"/>
      <c r="K22" s="66">
        <f t="shared" si="6"/>
        <v>4.7133757961783438</v>
      </c>
      <c r="L22" s="36"/>
      <c r="M22" s="6">
        <v>75</v>
      </c>
      <c r="N22" s="34"/>
      <c r="O22" s="2">
        <v>7</v>
      </c>
      <c r="P22" s="34"/>
      <c r="Q22" s="24"/>
      <c r="R22" s="24"/>
      <c r="S22" s="66">
        <v>14.1</v>
      </c>
      <c r="T22" s="66">
        <v>4.67</v>
      </c>
      <c r="U22" s="7"/>
      <c r="V22" s="24"/>
      <c r="W22" s="66">
        <f t="shared" si="7"/>
        <v>3.0192719486081372</v>
      </c>
      <c r="X22" s="34"/>
      <c r="Y22" s="5">
        <f>K22</f>
        <v>4.7133757961783438</v>
      </c>
      <c r="Z22" s="66">
        <v>4.8</v>
      </c>
      <c r="AA22" s="66">
        <v>5.98</v>
      </c>
      <c r="AB22" s="66">
        <v>4.7</v>
      </c>
      <c r="AC22" s="66">
        <v>4.5999999999999996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61"/>
      <c r="F23" s="24"/>
      <c r="G23" s="68" t="s">
        <v>61</v>
      </c>
      <c r="H23" s="68" t="s">
        <v>61</v>
      </c>
      <c r="I23" s="24"/>
      <c r="J23" s="24"/>
      <c r="K23" s="26" t="s">
        <v>61</v>
      </c>
      <c r="L23" s="36"/>
      <c r="M23" s="6">
        <v>75</v>
      </c>
      <c r="N23" s="34"/>
      <c r="O23" s="2">
        <v>12</v>
      </c>
      <c r="P23" s="34"/>
      <c r="Q23" s="24"/>
      <c r="R23" s="24"/>
      <c r="S23" s="26" t="s">
        <v>61</v>
      </c>
      <c r="T23" s="26" t="s">
        <v>61</v>
      </c>
      <c r="U23" s="24"/>
      <c r="V23" s="24"/>
      <c r="W23" s="26" t="s">
        <v>61</v>
      </c>
      <c r="X23" s="34"/>
      <c r="Y23" s="36"/>
      <c r="Z23" s="66">
        <v>5.5</v>
      </c>
      <c r="AA23" s="66">
        <v>7.54</v>
      </c>
      <c r="AB23" s="66">
        <v>5.2</v>
      </c>
      <c r="AC23" s="66">
        <v>5.52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30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 t="s">
        <v>149</v>
      </c>
      <c r="B25" s="1" t="s">
        <v>162</v>
      </c>
      <c r="C25" s="4"/>
      <c r="D25" s="2"/>
      <c r="E25" s="24"/>
      <c r="F25" s="24"/>
      <c r="G25" s="24"/>
      <c r="H25" s="24"/>
      <c r="I25" s="24"/>
      <c r="J25" s="24"/>
      <c r="K25" s="24"/>
      <c r="L25" s="36"/>
      <c r="M25" s="27"/>
      <c r="N25" s="34"/>
      <c r="O25" s="64"/>
      <c r="P25" s="34"/>
      <c r="Q25" s="24"/>
      <c r="R25" s="24"/>
      <c r="S25" s="24"/>
      <c r="T25" s="24"/>
      <c r="U25" s="24"/>
      <c r="V25" s="24"/>
      <c r="W25" s="24"/>
      <c r="X25" s="4">
        <v>3</v>
      </c>
      <c r="Y25" s="36"/>
      <c r="Z25" s="24"/>
      <c r="AA25" s="24"/>
      <c r="AB25" s="24"/>
      <c r="AC25" s="24"/>
      <c r="AD25" s="34"/>
      <c r="AE25" s="2" t="s">
        <v>37</v>
      </c>
      <c r="AF25" s="66">
        <v>14</v>
      </c>
      <c r="AG25" s="66">
        <v>4.38</v>
      </c>
      <c r="AH25" s="66">
        <f>AF25/AG25</f>
        <v>3.1963470319634704</v>
      </c>
    </row>
    <row r="26" spans="1:34" x14ac:dyDescent="0.4">
      <c r="A26" s="3"/>
      <c r="C26" s="13">
        <v>-25</v>
      </c>
      <c r="D26" s="2"/>
      <c r="E26" s="24"/>
      <c r="F26" s="24"/>
      <c r="G26" s="66">
        <v>8.3000000000000007</v>
      </c>
      <c r="H26" s="66">
        <v>4.68</v>
      </c>
      <c r="I26" s="24"/>
      <c r="J26" s="24"/>
      <c r="K26" s="66">
        <f>G26/H26</f>
        <v>1.7735042735042739</v>
      </c>
      <c r="L26" s="36"/>
      <c r="M26" s="6">
        <v>55</v>
      </c>
      <c r="N26" s="34"/>
      <c r="O26" s="2">
        <v>-25</v>
      </c>
      <c r="P26" s="34"/>
      <c r="Q26" s="24"/>
      <c r="R26" s="24"/>
      <c r="S26" s="66">
        <v>7.15</v>
      </c>
      <c r="T26" s="66">
        <v>5.7</v>
      </c>
      <c r="U26" s="24"/>
      <c r="V26" s="24"/>
      <c r="W26" s="66">
        <f>S26/T26</f>
        <v>1.2543859649122808</v>
      </c>
      <c r="X26" s="34"/>
      <c r="Y26" s="36"/>
      <c r="Z26" s="24"/>
      <c r="AA26" s="24"/>
      <c r="AB26" s="24"/>
      <c r="AC26" s="24"/>
      <c r="AD26" s="34"/>
      <c r="AE26" s="2"/>
      <c r="AF26" s="7"/>
      <c r="AG26" s="7"/>
      <c r="AH26" s="7"/>
    </row>
    <row r="27" spans="1:34" x14ac:dyDescent="0.4">
      <c r="A27" s="46"/>
      <c r="C27" s="13">
        <v>-20</v>
      </c>
      <c r="D27" s="2"/>
      <c r="E27" s="24"/>
      <c r="F27" s="24"/>
      <c r="G27" s="66">
        <v>9</v>
      </c>
      <c r="H27" s="66">
        <v>4.3600000000000003</v>
      </c>
      <c r="I27" s="24"/>
      <c r="J27" s="24"/>
      <c r="K27" s="66">
        <f t="shared" ref="K27:K32" si="8">G27/H27</f>
        <v>2.0642201834862384</v>
      </c>
      <c r="L27" s="36"/>
      <c r="M27" s="6">
        <v>65</v>
      </c>
      <c r="N27" s="34"/>
      <c r="O27" s="2">
        <v>-20</v>
      </c>
      <c r="P27" s="34"/>
      <c r="Q27" s="24"/>
      <c r="R27" s="24"/>
      <c r="S27" s="66">
        <v>8.1999999999999993</v>
      </c>
      <c r="T27" s="66">
        <v>5.57</v>
      </c>
      <c r="U27" s="24"/>
      <c r="V27" s="24"/>
      <c r="W27" s="66">
        <f t="shared" ref="W27:W32" si="9">S27/T27</f>
        <v>1.4721723518850987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6">
        <v>17</v>
      </c>
      <c r="AG27" s="66">
        <v>4.5199999999999996</v>
      </c>
      <c r="AH27" s="66">
        <f>AF27/AG27</f>
        <v>3.7610619469026552</v>
      </c>
    </row>
    <row r="28" spans="1:34" x14ac:dyDescent="0.4">
      <c r="A28" s="3"/>
      <c r="C28" s="2">
        <v>-15</v>
      </c>
      <c r="D28" s="2"/>
      <c r="E28" s="24"/>
      <c r="F28" s="24"/>
      <c r="G28" s="66">
        <v>10.5</v>
      </c>
      <c r="H28" s="66">
        <v>4.38</v>
      </c>
      <c r="I28" s="24"/>
      <c r="J28" s="24"/>
      <c r="K28" s="66">
        <f t="shared" si="8"/>
        <v>2.397260273972603</v>
      </c>
      <c r="L28" s="36"/>
      <c r="M28" s="6">
        <v>75</v>
      </c>
      <c r="N28" s="34"/>
      <c r="O28" s="2">
        <v>-15</v>
      </c>
      <c r="P28" s="34"/>
      <c r="Q28" s="24"/>
      <c r="R28" s="24"/>
      <c r="S28" s="66">
        <v>9.3000000000000007</v>
      </c>
      <c r="T28" s="66">
        <v>5.57</v>
      </c>
      <c r="U28" s="24"/>
      <c r="V28" s="24"/>
      <c r="W28" s="66">
        <f t="shared" si="9"/>
        <v>1.6696588868940754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6">
        <v>15.5</v>
      </c>
      <c r="AG28" s="66">
        <v>3.27</v>
      </c>
      <c r="AH28" s="66">
        <f>AF28/AG28</f>
        <v>4.7400611620795106</v>
      </c>
    </row>
    <row r="29" spans="1:34" x14ac:dyDescent="0.4">
      <c r="A29" s="3"/>
      <c r="C29" s="2">
        <v>-10</v>
      </c>
      <c r="D29" s="2"/>
      <c r="E29" s="24"/>
      <c r="F29" s="24"/>
      <c r="G29" s="43"/>
      <c r="H29" s="43"/>
      <c r="I29" s="24"/>
      <c r="J29" s="24"/>
      <c r="K29" s="66"/>
      <c r="L29" s="36"/>
      <c r="M29" s="6">
        <v>75</v>
      </c>
      <c r="N29" s="34"/>
      <c r="O29" s="2">
        <v>-10</v>
      </c>
      <c r="P29" s="34"/>
      <c r="Q29" s="24"/>
      <c r="R29" s="24"/>
      <c r="S29" s="43"/>
      <c r="T29" s="43"/>
      <c r="U29" s="24"/>
      <c r="V29" s="24"/>
      <c r="W29" s="66"/>
      <c r="X29" s="34"/>
      <c r="Y29" s="17" t="s">
        <v>39</v>
      </c>
      <c r="Z29" s="66">
        <v>11.2</v>
      </c>
      <c r="AA29" s="66">
        <v>2.83</v>
      </c>
      <c r="AB29" s="66">
        <v>10</v>
      </c>
      <c r="AC29" s="66">
        <v>1.92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24"/>
      <c r="F30" s="24"/>
      <c r="G30" s="66">
        <v>11.7</v>
      </c>
      <c r="H30" s="66">
        <v>4.45</v>
      </c>
      <c r="I30" s="24"/>
      <c r="J30" s="24"/>
      <c r="K30" s="66">
        <f t="shared" si="8"/>
        <v>2.6292134831460672</v>
      </c>
      <c r="L30" s="36"/>
      <c r="M30" s="6">
        <v>75</v>
      </c>
      <c r="N30" s="34"/>
      <c r="O30" s="2">
        <v>-7</v>
      </c>
      <c r="P30" s="34"/>
      <c r="Q30" s="24"/>
      <c r="R30" s="24"/>
      <c r="S30" s="66">
        <v>10.8</v>
      </c>
      <c r="T30" s="66">
        <v>5.68</v>
      </c>
      <c r="U30" s="24"/>
      <c r="V30" s="24"/>
      <c r="W30" s="66">
        <f t="shared" si="9"/>
        <v>1.9014084507042255</v>
      </c>
      <c r="X30" s="34"/>
      <c r="Y30" s="5">
        <f>AA30*(1.029-(0.05*Z30/G32))</f>
        <v>2.7896274999999999</v>
      </c>
      <c r="Z30" s="66">
        <v>11.6</v>
      </c>
      <c r="AA30" s="66">
        <v>2.81</v>
      </c>
      <c r="AB30" s="66">
        <v>10.8</v>
      </c>
      <c r="AC30" s="66">
        <v>2.04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24"/>
      <c r="F31" s="24"/>
      <c r="G31" s="66">
        <v>13</v>
      </c>
      <c r="H31" s="66">
        <v>3.94</v>
      </c>
      <c r="I31" s="24"/>
      <c r="J31" s="24"/>
      <c r="K31" s="66">
        <f t="shared" si="8"/>
        <v>3.2994923857868019</v>
      </c>
      <c r="L31" s="36"/>
      <c r="M31" s="6">
        <v>75</v>
      </c>
      <c r="N31" s="34"/>
      <c r="O31" s="2">
        <v>2</v>
      </c>
      <c r="P31" s="34"/>
      <c r="Q31" s="24"/>
      <c r="R31" s="24"/>
      <c r="S31" s="66">
        <v>12</v>
      </c>
      <c r="T31" s="66">
        <v>5.29</v>
      </c>
      <c r="U31" s="24"/>
      <c r="V31" s="24"/>
      <c r="W31" s="66">
        <f t="shared" si="9"/>
        <v>2.2684310018903591</v>
      </c>
      <c r="X31" s="34"/>
      <c r="Y31" s="5">
        <f>AA31*(0.906-(0.044*Z31/G32))</f>
        <v>3.9222112499999997</v>
      </c>
      <c r="Z31" s="66">
        <v>7.5</v>
      </c>
      <c r="AA31" s="66">
        <v>4.43</v>
      </c>
      <c r="AB31" s="66">
        <v>7</v>
      </c>
      <c r="AC31" s="66">
        <v>3.64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24"/>
      <c r="F32" s="24"/>
      <c r="G32" s="66">
        <v>16</v>
      </c>
      <c r="H32" s="66">
        <v>3.44</v>
      </c>
      <c r="I32" s="24"/>
      <c r="J32" s="24"/>
      <c r="K32" s="66">
        <f t="shared" si="8"/>
        <v>4.6511627906976747</v>
      </c>
      <c r="L32" s="36"/>
      <c r="M32" s="6">
        <v>75</v>
      </c>
      <c r="N32" s="34"/>
      <c r="O32" s="2">
        <v>7</v>
      </c>
      <c r="P32" s="34"/>
      <c r="Q32" s="24"/>
      <c r="R32" s="24"/>
      <c r="S32" s="66">
        <v>14.7</v>
      </c>
      <c r="T32" s="66">
        <v>4.9000000000000004</v>
      </c>
      <c r="U32" s="24"/>
      <c r="V32" s="24"/>
      <c r="W32" s="66">
        <f t="shared" si="9"/>
        <v>2.9999999999999996</v>
      </c>
      <c r="X32" s="34"/>
      <c r="Y32" s="5">
        <f>K32</f>
        <v>4.6511627906976747</v>
      </c>
      <c r="Z32" s="66">
        <v>4.9000000000000004</v>
      </c>
      <c r="AA32" s="66">
        <v>6.35</v>
      </c>
      <c r="AB32" s="66">
        <v>4.7</v>
      </c>
      <c r="AC32" s="66">
        <v>4.76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24"/>
      <c r="F33" s="24"/>
      <c r="G33" s="26" t="s">
        <v>61</v>
      </c>
      <c r="H33" s="26" t="s">
        <v>61</v>
      </c>
      <c r="I33" s="24"/>
      <c r="J33" s="24"/>
      <c r="K33" s="26" t="s">
        <v>61</v>
      </c>
      <c r="L33" s="36"/>
      <c r="M33" s="6">
        <v>75</v>
      </c>
      <c r="N33" s="34"/>
      <c r="O33" s="2">
        <v>12</v>
      </c>
      <c r="P33" s="34"/>
      <c r="Q33" s="24"/>
      <c r="R33" s="24"/>
      <c r="S33" s="26" t="s">
        <v>61</v>
      </c>
      <c r="T33" s="26" t="s">
        <v>61</v>
      </c>
      <c r="U33" s="24"/>
      <c r="V33" s="24"/>
      <c r="W33" s="26" t="s">
        <v>61</v>
      </c>
      <c r="X33" s="34"/>
      <c r="Y33" s="17"/>
      <c r="Z33" s="66">
        <v>5.7</v>
      </c>
      <c r="AA33" s="66">
        <v>7.68</v>
      </c>
      <c r="AB33" s="66">
        <v>5.4</v>
      </c>
      <c r="AC33" s="66">
        <v>5.57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x14ac:dyDescent="0.4">
      <c r="A35" s="3" t="s">
        <v>150</v>
      </c>
      <c r="B35" s="1" t="s">
        <v>162</v>
      </c>
      <c r="C35" s="4"/>
      <c r="D35" s="2"/>
      <c r="E35" s="24"/>
      <c r="F35" s="24"/>
      <c r="G35" s="24"/>
      <c r="H35" s="24"/>
      <c r="I35" s="24"/>
      <c r="J35" s="24"/>
      <c r="K35" s="24"/>
      <c r="L35" s="36"/>
      <c r="M35" s="27"/>
      <c r="N35" s="34"/>
      <c r="O35" s="64"/>
      <c r="P35" s="34"/>
      <c r="Q35" s="24"/>
      <c r="R35" s="24"/>
      <c r="S35" s="24"/>
      <c r="T35" s="24"/>
      <c r="U35" s="24"/>
      <c r="V35" s="24"/>
      <c r="W35" s="24"/>
      <c r="X35" s="4">
        <v>3</v>
      </c>
      <c r="Y35" s="36"/>
      <c r="Z35" s="24"/>
      <c r="AA35" s="24"/>
      <c r="AB35" s="24"/>
      <c r="AC35" s="24"/>
      <c r="AD35" s="34"/>
      <c r="AE35" s="2" t="s">
        <v>37</v>
      </c>
      <c r="AF35" s="66">
        <v>14</v>
      </c>
      <c r="AG35" s="66">
        <v>4.38</v>
      </c>
      <c r="AH35" s="66">
        <f>AF35/AG35</f>
        <v>3.1963470319634704</v>
      </c>
    </row>
    <row r="36" spans="1:34" x14ac:dyDescent="0.4">
      <c r="A36" s="3"/>
      <c r="C36" s="13">
        <v>-25</v>
      </c>
      <c r="D36" s="2"/>
      <c r="E36" s="24"/>
      <c r="F36" s="24"/>
      <c r="G36" s="66">
        <v>8.3000000000000007</v>
      </c>
      <c r="H36" s="66">
        <v>4.68</v>
      </c>
      <c r="I36" s="24"/>
      <c r="J36" s="24"/>
      <c r="K36" s="66">
        <f>G36/H36</f>
        <v>1.7735042735042739</v>
      </c>
      <c r="L36" s="36"/>
      <c r="M36" s="6">
        <v>55</v>
      </c>
      <c r="N36" s="34"/>
      <c r="O36" s="2">
        <v>-25</v>
      </c>
      <c r="P36" s="34"/>
      <c r="Q36" s="24"/>
      <c r="R36" s="24"/>
      <c r="S36" s="66">
        <v>7.15</v>
      </c>
      <c r="T36" s="66">
        <v>5.7</v>
      </c>
      <c r="U36" s="7"/>
      <c r="V36" s="24"/>
      <c r="W36" s="66">
        <f>S36/T36</f>
        <v>1.2543859649122808</v>
      </c>
      <c r="X36" s="34"/>
      <c r="Y36" s="36"/>
      <c r="Z36" s="24"/>
      <c r="AA36" s="24"/>
      <c r="AB36" s="24"/>
      <c r="AC36" s="24"/>
      <c r="AD36" s="34"/>
      <c r="AE36" s="2"/>
      <c r="AF36" s="7"/>
      <c r="AG36" s="7"/>
      <c r="AH36" s="7"/>
    </row>
    <row r="37" spans="1:34" x14ac:dyDescent="0.4">
      <c r="A37" s="46"/>
      <c r="C37" s="13">
        <v>-20</v>
      </c>
      <c r="D37" s="2"/>
      <c r="E37" s="24"/>
      <c r="F37" s="24"/>
      <c r="G37" s="66">
        <v>9</v>
      </c>
      <c r="H37" s="66">
        <v>4.3600000000000003</v>
      </c>
      <c r="I37" s="24"/>
      <c r="J37" s="24"/>
      <c r="K37" s="66">
        <f t="shared" ref="K37:K38" si="10">G37/H37</f>
        <v>2.0642201834862384</v>
      </c>
      <c r="L37" s="36"/>
      <c r="M37" s="6">
        <v>65</v>
      </c>
      <c r="N37" s="34"/>
      <c r="O37" s="2">
        <v>-20</v>
      </c>
      <c r="P37" s="34"/>
      <c r="Q37" s="24"/>
      <c r="R37" s="24"/>
      <c r="S37" s="66">
        <v>8.1999999999999993</v>
      </c>
      <c r="T37" s="66">
        <v>5.57</v>
      </c>
      <c r="U37" s="7"/>
      <c r="V37" s="24"/>
      <c r="W37" s="66">
        <f t="shared" ref="W37:W38" si="11">S37/T37</f>
        <v>1.4721723518850987</v>
      </c>
      <c r="X37" s="34"/>
      <c r="Y37" s="36"/>
      <c r="Z37" s="24"/>
      <c r="AA37" s="24"/>
      <c r="AB37" s="24"/>
      <c r="AC37" s="24"/>
      <c r="AD37" s="34"/>
      <c r="AE37" s="2" t="s">
        <v>38</v>
      </c>
      <c r="AF37" s="66">
        <v>17</v>
      </c>
      <c r="AG37" s="66">
        <v>4.5199999999999996</v>
      </c>
      <c r="AH37" s="66">
        <f>AF37/AG37</f>
        <v>3.7610619469026552</v>
      </c>
    </row>
    <row r="38" spans="1:34" x14ac:dyDescent="0.4">
      <c r="A38" s="3"/>
      <c r="C38" s="2">
        <v>-15</v>
      </c>
      <c r="D38" s="2"/>
      <c r="E38" s="24"/>
      <c r="F38" s="24"/>
      <c r="G38" s="66">
        <v>10.5</v>
      </c>
      <c r="H38" s="66">
        <v>4.38</v>
      </c>
      <c r="I38" s="24"/>
      <c r="J38" s="24"/>
      <c r="K38" s="66">
        <f t="shared" si="10"/>
        <v>2.397260273972603</v>
      </c>
      <c r="L38" s="36"/>
      <c r="M38" s="6">
        <v>75</v>
      </c>
      <c r="N38" s="34"/>
      <c r="O38" s="2">
        <v>-15</v>
      </c>
      <c r="P38" s="34"/>
      <c r="Q38" s="24"/>
      <c r="R38" s="24"/>
      <c r="S38" s="66">
        <v>9.3000000000000007</v>
      </c>
      <c r="T38" s="66">
        <v>5.57</v>
      </c>
      <c r="U38" s="7"/>
      <c r="V38" s="24"/>
      <c r="W38" s="66">
        <f t="shared" si="11"/>
        <v>1.6696588868940754</v>
      </c>
      <c r="X38" s="34"/>
      <c r="Y38" s="36"/>
      <c r="Z38" s="24"/>
      <c r="AA38" s="24"/>
      <c r="AB38" s="24"/>
      <c r="AC38" s="24"/>
      <c r="AD38" s="34"/>
      <c r="AE38" s="2" t="s">
        <v>40</v>
      </c>
      <c r="AF38" s="66">
        <v>15.5</v>
      </c>
      <c r="AG38" s="66">
        <v>3.27</v>
      </c>
      <c r="AH38" s="66">
        <f>AF38/AG38</f>
        <v>4.7400611620795106</v>
      </c>
    </row>
    <row r="39" spans="1:34" x14ac:dyDescent="0.4">
      <c r="A39" s="3"/>
      <c r="C39" s="2">
        <v>-10</v>
      </c>
      <c r="D39" s="2"/>
      <c r="E39" s="24"/>
      <c r="F39" s="24"/>
      <c r="G39" s="43"/>
      <c r="H39" s="43"/>
      <c r="I39" s="24"/>
      <c r="J39" s="24"/>
      <c r="K39" s="66"/>
      <c r="L39" s="36"/>
      <c r="M39" s="6">
        <v>75</v>
      </c>
      <c r="N39" s="34"/>
      <c r="O39" s="2">
        <v>-10</v>
      </c>
      <c r="P39" s="34"/>
      <c r="Q39" s="24"/>
      <c r="R39" s="24"/>
      <c r="S39" s="43"/>
      <c r="T39" s="43"/>
      <c r="U39" s="7"/>
      <c r="V39" s="24"/>
      <c r="W39" s="66"/>
      <c r="X39" s="34"/>
      <c r="Y39" s="17" t="s">
        <v>39</v>
      </c>
      <c r="Z39" s="66">
        <v>11.2</v>
      </c>
      <c r="AA39" s="66">
        <v>2.83</v>
      </c>
      <c r="AB39" s="66">
        <v>10</v>
      </c>
      <c r="AC39" s="66">
        <v>1.92</v>
      </c>
      <c r="AD39" s="34"/>
      <c r="AF39" s="33"/>
      <c r="AG39" s="33"/>
      <c r="AH39" s="33"/>
    </row>
    <row r="40" spans="1:34" x14ac:dyDescent="0.4">
      <c r="A40" s="3"/>
      <c r="C40" s="2">
        <v>-7</v>
      </c>
      <c r="D40" s="2"/>
      <c r="E40" s="24"/>
      <c r="F40" s="24"/>
      <c r="G40" s="66">
        <v>11.7</v>
      </c>
      <c r="H40" s="66">
        <v>4.45</v>
      </c>
      <c r="I40" s="24"/>
      <c r="J40" s="24"/>
      <c r="K40" s="66">
        <f t="shared" ref="K40:K42" si="12">G40/H40</f>
        <v>2.6292134831460672</v>
      </c>
      <c r="L40" s="36"/>
      <c r="M40" s="6">
        <v>75</v>
      </c>
      <c r="N40" s="34"/>
      <c r="O40" s="2">
        <v>-7</v>
      </c>
      <c r="P40" s="34"/>
      <c r="Q40" s="24"/>
      <c r="R40" s="24"/>
      <c r="S40" s="66">
        <v>10.8</v>
      </c>
      <c r="T40" s="66">
        <v>5.68</v>
      </c>
      <c r="U40" s="7"/>
      <c r="V40" s="24"/>
      <c r="W40" s="66">
        <f t="shared" ref="W40:W42" si="13">S40/T40</f>
        <v>1.9014084507042255</v>
      </c>
      <c r="X40" s="34"/>
      <c r="Y40" s="5">
        <f>AA40*(1.029-(0.05*Z40/G42))</f>
        <v>2.7896274999999999</v>
      </c>
      <c r="Z40" s="66">
        <v>11.6</v>
      </c>
      <c r="AA40" s="66">
        <v>2.81</v>
      </c>
      <c r="AB40" s="66">
        <v>10.8</v>
      </c>
      <c r="AC40" s="66">
        <v>2.04</v>
      </c>
      <c r="AD40" s="34"/>
      <c r="AE40" s="2"/>
      <c r="AF40" s="34"/>
      <c r="AG40" s="34"/>
      <c r="AH40" s="33"/>
    </row>
    <row r="41" spans="1:34" x14ac:dyDescent="0.4">
      <c r="A41" s="3"/>
      <c r="C41" s="2">
        <v>2</v>
      </c>
      <c r="D41" s="2"/>
      <c r="E41" s="24"/>
      <c r="F41" s="24"/>
      <c r="G41" s="66">
        <v>13</v>
      </c>
      <c r="H41" s="66">
        <v>3.94</v>
      </c>
      <c r="I41" s="24"/>
      <c r="J41" s="24"/>
      <c r="K41" s="66">
        <f t="shared" si="12"/>
        <v>3.2994923857868019</v>
      </c>
      <c r="L41" s="36"/>
      <c r="M41" s="6">
        <v>75</v>
      </c>
      <c r="N41" s="34"/>
      <c r="O41" s="2">
        <v>2</v>
      </c>
      <c r="P41" s="34"/>
      <c r="Q41" s="24"/>
      <c r="R41" s="24"/>
      <c r="S41" s="66">
        <v>12</v>
      </c>
      <c r="T41" s="66">
        <v>5.29</v>
      </c>
      <c r="U41" s="7"/>
      <c r="V41" s="24"/>
      <c r="W41" s="66">
        <f t="shared" si="13"/>
        <v>2.2684310018903591</v>
      </c>
      <c r="X41" s="34"/>
      <c r="Y41" s="5">
        <f>AA41*(0.906-(0.044*Z41/G42))</f>
        <v>3.9222112499999997</v>
      </c>
      <c r="Z41" s="66">
        <v>7.5</v>
      </c>
      <c r="AA41" s="66">
        <v>4.43</v>
      </c>
      <c r="AB41" s="66">
        <v>7</v>
      </c>
      <c r="AC41" s="66">
        <v>3.64</v>
      </c>
      <c r="AD41" s="34"/>
      <c r="AE41" s="2"/>
      <c r="AF41" s="34"/>
      <c r="AG41" s="34"/>
      <c r="AH41" s="33"/>
    </row>
    <row r="42" spans="1:34" x14ac:dyDescent="0.4">
      <c r="A42" s="3"/>
      <c r="C42" s="2">
        <v>7</v>
      </c>
      <c r="D42" s="2"/>
      <c r="E42" s="24"/>
      <c r="F42" s="24"/>
      <c r="G42" s="66">
        <v>16</v>
      </c>
      <c r="H42" s="66">
        <v>3.44</v>
      </c>
      <c r="I42" s="24"/>
      <c r="J42" s="24"/>
      <c r="K42" s="66">
        <f t="shared" si="12"/>
        <v>4.6511627906976747</v>
      </c>
      <c r="L42" s="36"/>
      <c r="M42" s="6">
        <v>75</v>
      </c>
      <c r="N42" s="34"/>
      <c r="O42" s="2">
        <v>7</v>
      </c>
      <c r="P42" s="34"/>
      <c r="Q42" s="24"/>
      <c r="R42" s="24"/>
      <c r="S42" s="66">
        <v>14.7</v>
      </c>
      <c r="T42" s="66">
        <v>4.9000000000000004</v>
      </c>
      <c r="U42" s="7"/>
      <c r="V42" s="24"/>
      <c r="W42" s="66">
        <f t="shared" si="13"/>
        <v>2.9999999999999996</v>
      </c>
      <c r="X42" s="34"/>
      <c r="Y42" s="5">
        <f>K42</f>
        <v>4.6511627906976747</v>
      </c>
      <c r="Z42" s="66">
        <v>4.9000000000000004</v>
      </c>
      <c r="AA42" s="66">
        <v>6.35</v>
      </c>
      <c r="AB42" s="66">
        <v>4.7</v>
      </c>
      <c r="AC42" s="66">
        <v>4.76</v>
      </c>
      <c r="AD42" s="34"/>
      <c r="AE42" s="2"/>
      <c r="AF42" s="34"/>
      <c r="AG42" s="34"/>
      <c r="AH42" s="33"/>
    </row>
    <row r="43" spans="1:34" x14ac:dyDescent="0.4">
      <c r="A43" s="3"/>
      <c r="C43" s="2">
        <v>12</v>
      </c>
      <c r="D43" s="2"/>
      <c r="E43" s="24"/>
      <c r="F43" s="24"/>
      <c r="G43" s="68" t="s">
        <v>61</v>
      </c>
      <c r="H43" s="68" t="s">
        <v>61</v>
      </c>
      <c r="I43" s="24"/>
      <c r="J43" s="24"/>
      <c r="K43" s="26" t="s">
        <v>61</v>
      </c>
      <c r="L43" s="36"/>
      <c r="M43" s="6">
        <v>75</v>
      </c>
      <c r="N43" s="34"/>
      <c r="O43" s="2">
        <v>12</v>
      </c>
      <c r="P43" s="34"/>
      <c r="Q43" s="24"/>
      <c r="R43" s="24"/>
      <c r="S43" s="26" t="s">
        <v>61</v>
      </c>
      <c r="T43" s="26" t="s">
        <v>61</v>
      </c>
      <c r="U43" s="24"/>
      <c r="V43" s="24"/>
      <c r="W43" s="26" t="s">
        <v>61</v>
      </c>
      <c r="X43" s="34"/>
      <c r="Y43" s="17"/>
      <c r="Z43" s="66">
        <v>5.7</v>
      </c>
      <c r="AA43" s="66">
        <v>7.68</v>
      </c>
      <c r="AB43" s="66">
        <v>5.4</v>
      </c>
      <c r="AC43" s="66">
        <v>5.57</v>
      </c>
      <c r="AD43" s="34"/>
      <c r="AE43" s="2"/>
      <c r="AF43" s="34"/>
      <c r="AG43" s="34"/>
      <c r="AH43" s="33"/>
    </row>
    <row r="44" spans="1:34" x14ac:dyDescent="0.4">
      <c r="A44" s="8"/>
      <c r="B44" s="8"/>
      <c r="C44" s="9"/>
      <c r="D44" s="9"/>
      <c r="E44" s="18"/>
      <c r="F44" s="18"/>
      <c r="G44" s="22"/>
      <c r="H44" s="22"/>
      <c r="I44" s="22"/>
      <c r="J44" s="22"/>
      <c r="K44" s="22"/>
      <c r="L44" s="18"/>
      <c r="M44" s="18"/>
      <c r="N44" s="18"/>
      <c r="O44" s="18"/>
      <c r="P44" s="18"/>
      <c r="Q44" s="18"/>
      <c r="R44" s="22"/>
      <c r="S44" s="22"/>
      <c r="T44" s="22"/>
      <c r="U44" s="22"/>
      <c r="V44" s="22"/>
      <c r="W44" s="22"/>
      <c r="X44" s="18"/>
      <c r="Y44" s="22"/>
      <c r="Z44" s="22"/>
      <c r="AA44" s="22"/>
      <c r="AB44" s="22"/>
      <c r="AC44" s="22"/>
      <c r="AD44" s="18"/>
      <c r="AE44" s="18"/>
      <c r="AF44" s="18"/>
      <c r="AG44" s="18"/>
      <c r="AH44" s="18"/>
    </row>
    <row r="45" spans="1:34" x14ac:dyDescent="0.4">
      <c r="A45"/>
      <c r="AF45" s="15"/>
      <c r="AG45" s="15"/>
      <c r="AH45" s="15"/>
    </row>
    <row r="46" spans="1:34" x14ac:dyDescent="0.4">
      <c r="A46" s="47" t="s">
        <v>41</v>
      </c>
    </row>
    <row r="48" spans="1:34" x14ac:dyDescent="0.4">
      <c r="A48" s="1" t="s">
        <v>180</v>
      </c>
    </row>
    <row r="49" spans="1:1" x14ac:dyDescent="0.4">
      <c r="A49" s="1" t="s">
        <v>182</v>
      </c>
    </row>
    <row r="51" spans="1:1" x14ac:dyDescent="0.4">
      <c r="A51" s="1" t="s">
        <v>181</v>
      </c>
    </row>
    <row r="52" spans="1:1" x14ac:dyDescent="0.4">
      <c r="A52" s="1" t="s">
        <v>183</v>
      </c>
    </row>
    <row r="54" spans="1:1" x14ac:dyDescent="0.4">
      <c r="A54"/>
    </row>
    <row r="55" spans="1:1" x14ac:dyDescent="0.4">
      <c r="A55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17D7-C938-4E9A-8BC4-B376ABC65BDF}">
  <sheetPr>
    <tabColor rgb="FF7030A0"/>
  </sheetPr>
  <dimension ref="A1:AH45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43" sqref="C43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151</v>
      </c>
      <c r="B5" s="1" t="s">
        <v>68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9"/>
      <c r="O5" s="4">
        <v>-28</v>
      </c>
      <c r="P5" s="19"/>
      <c r="Q5" s="5"/>
      <c r="R5" s="5"/>
      <c r="S5" s="5"/>
      <c r="T5" s="5"/>
      <c r="U5" s="5"/>
      <c r="V5" s="5"/>
      <c r="W5" s="5"/>
      <c r="X5" s="4">
        <v>9</v>
      </c>
      <c r="Y5" s="17"/>
      <c r="Z5" s="5"/>
      <c r="AA5" s="5"/>
      <c r="AB5" s="5"/>
      <c r="AC5" s="5"/>
      <c r="AD5" s="19"/>
      <c r="AE5" s="19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17"/>
      <c r="M6" s="6">
        <v>55</v>
      </c>
      <c r="N6" s="19"/>
      <c r="O6" s="13">
        <v>-25</v>
      </c>
      <c r="P6" s="19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9"/>
      <c r="AE6" s="19"/>
      <c r="AF6" s="7"/>
      <c r="AG6" s="7"/>
      <c r="AH6" s="7"/>
    </row>
    <row r="7" spans="1:34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9"/>
      <c r="O7" s="13">
        <v>-20</v>
      </c>
      <c r="P7" s="19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9"/>
      <c r="Y7" s="17"/>
      <c r="Z7" s="5"/>
      <c r="AA7" s="5"/>
      <c r="AB7" s="5"/>
      <c r="AC7" s="5"/>
      <c r="AD7" s="19"/>
      <c r="AE7" s="19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9"/>
      <c r="O8" s="13">
        <v>-15</v>
      </c>
      <c r="P8" s="19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9"/>
      <c r="Y8" s="17"/>
      <c r="Z8" s="5"/>
      <c r="AA8" s="5"/>
      <c r="AB8" s="5"/>
      <c r="AC8" s="5"/>
      <c r="AD8" s="19"/>
      <c r="AE8" s="19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9"/>
      <c r="O9" s="13">
        <v>-10</v>
      </c>
      <c r="P9" s="19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9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9"/>
      <c r="AE9" s="20"/>
      <c r="AF9" s="20"/>
      <c r="AG9" s="20"/>
      <c r="AH9" s="20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9"/>
      <c r="O10" s="13">
        <v>-7</v>
      </c>
      <c r="P10" s="19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9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9"/>
      <c r="AE10" s="19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9"/>
      <c r="O11" s="13">
        <v>2</v>
      </c>
      <c r="P11" s="19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9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9"/>
      <c r="AE11" s="19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9"/>
      <c r="O12" s="13">
        <v>7</v>
      </c>
      <c r="P12" s="19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9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9"/>
      <c r="AE12" s="19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9"/>
      <c r="O13" s="13">
        <v>12</v>
      </c>
      <c r="P13" s="19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9"/>
      <c r="Y13" s="17"/>
      <c r="Z13" s="5">
        <v>5.7</v>
      </c>
      <c r="AA13" s="5">
        <v>7.8</v>
      </c>
      <c r="AB13" s="5">
        <v>5.6</v>
      </c>
      <c r="AC13" s="5">
        <v>5.78</v>
      </c>
      <c r="AD13" s="19"/>
      <c r="AE13" s="19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22"/>
      <c r="H14" s="22"/>
      <c r="I14" s="22"/>
      <c r="J14" s="22"/>
      <c r="K14" s="22"/>
      <c r="L14" s="18"/>
      <c r="M14" s="18"/>
      <c r="N14" s="18"/>
      <c r="O14" s="18"/>
      <c r="P14" s="18"/>
      <c r="Q14" s="18"/>
      <c r="R14" s="22"/>
      <c r="S14" s="22"/>
      <c r="T14" s="22"/>
      <c r="U14" s="22"/>
      <c r="V14" s="22"/>
      <c r="W14" s="22"/>
      <c r="X14" s="18"/>
      <c r="Y14" s="22"/>
      <c r="Z14" s="22"/>
      <c r="AA14" s="22"/>
      <c r="AB14" s="22"/>
      <c r="AC14" s="22"/>
      <c r="AD14" s="18"/>
      <c r="AE14" s="18"/>
      <c r="AF14" s="18"/>
      <c r="AG14" s="18"/>
      <c r="AH14" s="18"/>
    </row>
    <row r="15" spans="1:34" x14ac:dyDescent="0.4">
      <c r="A15" s="3" t="s">
        <v>151</v>
      </c>
      <c r="B15" s="1" t="s">
        <v>67</v>
      </c>
      <c r="C15" s="4">
        <v>-28</v>
      </c>
      <c r="D15" s="2"/>
      <c r="E15" s="5"/>
      <c r="F15" s="5"/>
      <c r="G15" s="5"/>
      <c r="H15" s="5"/>
      <c r="I15" s="5"/>
      <c r="J15" s="5"/>
      <c r="K15" s="5"/>
      <c r="L15" s="17"/>
      <c r="M15" s="6">
        <v>55</v>
      </c>
      <c r="N15" s="19"/>
      <c r="O15" s="4">
        <v>-28</v>
      </c>
      <c r="P15" s="19"/>
      <c r="Q15" s="5"/>
      <c r="R15" s="5"/>
      <c r="S15" s="5"/>
      <c r="T15" s="5"/>
      <c r="U15" s="5"/>
      <c r="V15" s="5"/>
      <c r="W15" s="5"/>
      <c r="X15" s="4">
        <v>9</v>
      </c>
      <c r="Y15" s="17"/>
      <c r="Z15" s="5"/>
      <c r="AA15" s="5"/>
      <c r="AB15" s="5"/>
      <c r="AC15" s="5"/>
      <c r="AD15" s="19"/>
      <c r="AE15" s="19" t="s">
        <v>37</v>
      </c>
      <c r="AF15" s="7">
        <v>12</v>
      </c>
      <c r="AG15" s="7">
        <v>4.21</v>
      </c>
      <c r="AH15" s="7">
        <f>AF15/AG15</f>
        <v>2.8503562945368173</v>
      </c>
    </row>
    <row r="16" spans="1:34" x14ac:dyDescent="0.4">
      <c r="A16" s="3"/>
      <c r="C16" s="13">
        <v>-25</v>
      </c>
      <c r="D16" s="2"/>
      <c r="E16" s="5"/>
      <c r="F16" s="5"/>
      <c r="G16" s="5">
        <v>10.5</v>
      </c>
      <c r="H16" s="5">
        <v>5.55</v>
      </c>
      <c r="I16" s="5"/>
      <c r="J16" s="5"/>
      <c r="K16" s="5">
        <v>1.8918918918918919</v>
      </c>
      <c r="L16" s="17"/>
      <c r="M16" s="6">
        <v>55</v>
      </c>
      <c r="N16" s="19"/>
      <c r="O16" s="13">
        <v>-25</v>
      </c>
      <c r="P16" s="19"/>
      <c r="Q16" s="5"/>
      <c r="R16" s="5"/>
      <c r="S16" s="5">
        <v>9.6999999999999993</v>
      </c>
      <c r="T16" s="5">
        <v>7.4</v>
      </c>
      <c r="U16" s="5"/>
      <c r="V16" s="5"/>
      <c r="W16" s="5">
        <v>1.3108108108108107</v>
      </c>
      <c r="X16" s="19"/>
      <c r="Y16" s="17"/>
      <c r="Z16" s="5"/>
      <c r="AA16" s="5"/>
      <c r="AB16" s="5"/>
      <c r="AC16" s="5"/>
      <c r="AD16" s="19"/>
      <c r="AE16" s="19"/>
      <c r="AF16" s="7"/>
      <c r="AG16" s="7"/>
      <c r="AH16" s="7"/>
    </row>
    <row r="17" spans="1:34" x14ac:dyDescent="0.4">
      <c r="A17" s="46"/>
      <c r="C17" s="13">
        <v>-20</v>
      </c>
      <c r="D17" s="2"/>
      <c r="E17" s="5"/>
      <c r="F17" s="5"/>
      <c r="G17" s="5">
        <v>11.2</v>
      </c>
      <c r="H17" s="5">
        <v>4.75</v>
      </c>
      <c r="I17" s="5"/>
      <c r="J17" s="5"/>
      <c r="K17" s="5">
        <v>2.357894736842105</v>
      </c>
      <c r="L17" s="17"/>
      <c r="M17" s="6">
        <v>65</v>
      </c>
      <c r="N17" s="19"/>
      <c r="O17" s="13">
        <v>-20</v>
      </c>
      <c r="P17" s="19"/>
      <c r="Q17" s="5"/>
      <c r="R17" s="5"/>
      <c r="S17" s="5">
        <v>10.8</v>
      </c>
      <c r="T17" s="5">
        <v>6.45</v>
      </c>
      <c r="U17" s="5"/>
      <c r="V17" s="5"/>
      <c r="W17" s="5">
        <v>1.6744186046511629</v>
      </c>
      <c r="X17" s="19"/>
      <c r="Y17" s="17"/>
      <c r="Z17" s="5"/>
      <c r="AA17" s="5"/>
      <c r="AB17" s="5"/>
      <c r="AC17" s="5"/>
      <c r="AD17" s="19"/>
      <c r="AE17" s="19" t="s">
        <v>38</v>
      </c>
      <c r="AF17" s="7">
        <v>13.2</v>
      </c>
      <c r="AG17" s="7">
        <v>3.25</v>
      </c>
      <c r="AH17" s="7">
        <f>AF17/AG17</f>
        <v>4.0615384615384613</v>
      </c>
    </row>
    <row r="18" spans="1:34" x14ac:dyDescent="0.4">
      <c r="A18" s="3"/>
      <c r="C18" s="2">
        <v>-15</v>
      </c>
      <c r="D18" s="2"/>
      <c r="E18" s="5"/>
      <c r="F18" s="5"/>
      <c r="G18" s="5">
        <v>12</v>
      </c>
      <c r="H18" s="5">
        <v>4.5599999999999996</v>
      </c>
      <c r="I18" s="5"/>
      <c r="J18" s="5"/>
      <c r="K18" s="5">
        <v>2.6315789473684212</v>
      </c>
      <c r="L18" s="17"/>
      <c r="M18" s="6">
        <v>75</v>
      </c>
      <c r="N18" s="19"/>
      <c r="O18" s="13">
        <v>-15</v>
      </c>
      <c r="P18" s="19"/>
      <c r="Q18" s="5"/>
      <c r="R18" s="5"/>
      <c r="S18" s="5">
        <v>12</v>
      </c>
      <c r="T18" s="5">
        <v>6</v>
      </c>
      <c r="U18" s="5"/>
      <c r="V18" s="5"/>
      <c r="W18" s="5">
        <v>2</v>
      </c>
      <c r="X18" s="19"/>
      <c r="Y18" s="17"/>
      <c r="Z18" s="5"/>
      <c r="AA18" s="5"/>
      <c r="AB18" s="5"/>
      <c r="AC18" s="5"/>
      <c r="AD18" s="19"/>
      <c r="AE18" s="19" t="s">
        <v>40</v>
      </c>
      <c r="AF18" s="7">
        <v>12</v>
      </c>
      <c r="AG18" s="7">
        <v>2.8</v>
      </c>
      <c r="AH18" s="7">
        <f>AF18/AG18</f>
        <v>4.2857142857142856</v>
      </c>
    </row>
    <row r="19" spans="1:34" x14ac:dyDescent="0.4">
      <c r="A19" s="3"/>
      <c r="C19" s="2">
        <v>-10</v>
      </c>
      <c r="D19" s="2"/>
      <c r="E19" s="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9"/>
      <c r="O19" s="13">
        <v>-10</v>
      </c>
      <c r="P19" s="19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9"/>
      <c r="Y19" s="17" t="s">
        <v>39</v>
      </c>
      <c r="Z19" s="5">
        <v>12</v>
      </c>
      <c r="AA19" s="5">
        <v>2.91</v>
      </c>
      <c r="AB19" s="5">
        <v>12</v>
      </c>
      <c r="AC19" s="5">
        <v>2.12</v>
      </c>
      <c r="AD19" s="19"/>
      <c r="AE19" s="20"/>
      <c r="AF19" s="20"/>
      <c r="AG19" s="20"/>
      <c r="AH19" s="20"/>
    </row>
    <row r="20" spans="1:34" x14ac:dyDescent="0.4">
      <c r="A20" s="3"/>
      <c r="C20" s="2">
        <v>-7</v>
      </c>
      <c r="D20" s="2"/>
      <c r="E20" s="5"/>
      <c r="F20" s="5"/>
      <c r="G20" s="5">
        <v>12</v>
      </c>
      <c r="H20" s="5">
        <v>4</v>
      </c>
      <c r="I20" s="5"/>
      <c r="J20" s="5"/>
      <c r="K20" s="5">
        <v>3</v>
      </c>
      <c r="L20" s="17"/>
      <c r="M20" s="6">
        <v>75</v>
      </c>
      <c r="N20" s="19"/>
      <c r="O20" s="13">
        <v>-7</v>
      </c>
      <c r="P20" s="19"/>
      <c r="Q20" s="5"/>
      <c r="R20" s="5"/>
      <c r="S20" s="5">
        <v>12</v>
      </c>
      <c r="T20" s="5">
        <v>5.53</v>
      </c>
      <c r="U20" s="5"/>
      <c r="V20" s="5"/>
      <c r="W20" s="5">
        <v>2.1699819168173597</v>
      </c>
      <c r="X20" s="19"/>
      <c r="Y20" s="5">
        <f>AA20*(1.029-(0.05*Z20/G22))</f>
        <v>2.7476849999999997</v>
      </c>
      <c r="Z20" s="5">
        <v>10.6</v>
      </c>
      <c r="AA20" s="5">
        <v>2.79</v>
      </c>
      <c r="AB20" s="5">
        <v>10.6</v>
      </c>
      <c r="AC20" s="5">
        <v>2.2200000000000002</v>
      </c>
      <c r="AD20" s="19"/>
      <c r="AE20" s="19"/>
      <c r="AF20" s="19"/>
      <c r="AG20" s="19"/>
      <c r="AH20" s="20"/>
    </row>
    <row r="21" spans="1:34" x14ac:dyDescent="0.4">
      <c r="A21" s="3"/>
      <c r="C21" s="2">
        <v>2</v>
      </c>
      <c r="D21" s="2"/>
      <c r="E21" s="5"/>
      <c r="F21" s="5"/>
      <c r="G21" s="5">
        <v>12</v>
      </c>
      <c r="H21" s="5">
        <v>3.39</v>
      </c>
      <c r="I21" s="5"/>
      <c r="J21" s="5"/>
      <c r="K21" s="5">
        <v>3.5398230088495577</v>
      </c>
      <c r="L21" s="17"/>
      <c r="M21" s="6">
        <v>75</v>
      </c>
      <c r="N21" s="19"/>
      <c r="O21" s="13">
        <v>2</v>
      </c>
      <c r="P21" s="19"/>
      <c r="Q21" s="5"/>
      <c r="R21" s="5"/>
      <c r="S21" s="5">
        <v>12</v>
      </c>
      <c r="T21" s="5">
        <v>4.95</v>
      </c>
      <c r="U21" s="5"/>
      <c r="V21" s="5"/>
      <c r="W21" s="5">
        <v>2.4242424242424243</v>
      </c>
      <c r="X21" s="19"/>
      <c r="Y21" s="5">
        <f>AA21*(0.906-(0.044*Z21/G22))</f>
        <v>4.1020750000000001</v>
      </c>
      <c r="Z21" s="5">
        <v>6.5</v>
      </c>
      <c r="AA21" s="5">
        <v>4.6500000000000004</v>
      </c>
      <c r="AB21" s="5">
        <v>6.5</v>
      </c>
      <c r="AC21" s="5">
        <v>3.65</v>
      </c>
      <c r="AD21" s="19"/>
      <c r="AE21" s="19"/>
      <c r="AF21" s="19"/>
      <c r="AG21" s="19"/>
      <c r="AH21" s="20"/>
    </row>
    <row r="22" spans="1:34" x14ac:dyDescent="0.4">
      <c r="A22" s="3"/>
      <c r="C22" s="2">
        <v>7</v>
      </c>
      <c r="D22" s="2"/>
      <c r="E22" s="5"/>
      <c r="F22" s="5"/>
      <c r="G22" s="5">
        <v>12</v>
      </c>
      <c r="H22" s="5">
        <v>2.37</v>
      </c>
      <c r="I22" s="5"/>
      <c r="J22" s="5"/>
      <c r="K22" s="5">
        <v>5.0632911392405067</v>
      </c>
      <c r="L22" s="17"/>
      <c r="M22" s="6">
        <v>75</v>
      </c>
      <c r="N22" s="19"/>
      <c r="O22" s="13">
        <v>7</v>
      </c>
      <c r="P22" s="19"/>
      <c r="Q22" s="5"/>
      <c r="R22" s="5"/>
      <c r="S22" s="5">
        <v>12</v>
      </c>
      <c r="T22" s="5">
        <v>3.71</v>
      </c>
      <c r="U22" s="5"/>
      <c r="V22" s="5"/>
      <c r="W22" s="5">
        <v>3.2345013477088949</v>
      </c>
      <c r="X22" s="19"/>
      <c r="Y22" s="5">
        <f>K22</f>
        <v>5.0632911392405067</v>
      </c>
      <c r="Z22" s="5">
        <v>5.3</v>
      </c>
      <c r="AA22" s="5">
        <v>6.25</v>
      </c>
      <c r="AB22" s="5">
        <v>4.9000000000000004</v>
      </c>
      <c r="AC22" s="5">
        <v>4.57</v>
      </c>
      <c r="AD22" s="19"/>
      <c r="AE22" s="19"/>
      <c r="AF22" s="19"/>
      <c r="AG22" s="19"/>
      <c r="AH22" s="20"/>
    </row>
    <row r="23" spans="1:34" x14ac:dyDescent="0.4">
      <c r="A23" s="3"/>
      <c r="C23" s="2">
        <v>12</v>
      </c>
      <c r="D23" s="2"/>
      <c r="E23" s="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9"/>
      <c r="O23" s="13">
        <v>12</v>
      </c>
      <c r="P23" s="19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9"/>
      <c r="Y23" s="17"/>
      <c r="Z23" s="5">
        <v>6.1</v>
      </c>
      <c r="AA23" s="5">
        <v>7.78</v>
      </c>
      <c r="AB23" s="5">
        <v>5.7</v>
      </c>
      <c r="AC23" s="5">
        <v>5.84</v>
      </c>
      <c r="AD23" s="19"/>
      <c r="AE23" s="19"/>
      <c r="AF23" s="19"/>
      <c r="AG23" s="19"/>
      <c r="AH23" s="20"/>
    </row>
    <row r="24" spans="1:34" x14ac:dyDescent="0.4">
      <c r="A24" s="8"/>
      <c r="B24" s="8"/>
      <c r="C24" s="9"/>
      <c r="D24" s="9"/>
      <c r="E24" s="18"/>
      <c r="F24" s="18"/>
      <c r="G24" s="22"/>
      <c r="H24" s="22"/>
      <c r="I24" s="22"/>
      <c r="J24" s="22"/>
      <c r="K24" s="22"/>
      <c r="L24" s="18"/>
      <c r="M24" s="18"/>
      <c r="N24" s="18"/>
      <c r="O24" s="18"/>
      <c r="P24" s="18"/>
      <c r="Q24" s="18"/>
      <c r="R24" s="22"/>
      <c r="S24" s="22"/>
      <c r="T24" s="22"/>
      <c r="U24" s="22"/>
      <c r="V24" s="22"/>
      <c r="W24" s="22"/>
      <c r="X24" s="18"/>
      <c r="Y24" s="22"/>
      <c r="Z24" s="22"/>
      <c r="AA24" s="22"/>
      <c r="AB24" s="22"/>
      <c r="AC24" s="22"/>
      <c r="AD24" s="18"/>
      <c r="AE24" s="18"/>
      <c r="AF24" s="18"/>
      <c r="AG24" s="18"/>
      <c r="AH24" s="18"/>
    </row>
    <row r="25" spans="1:34" x14ac:dyDescent="0.4">
      <c r="A25" s="3" t="s">
        <v>151</v>
      </c>
      <c r="B25" s="1" t="s">
        <v>66</v>
      </c>
      <c r="C25" s="4">
        <v>-28</v>
      </c>
      <c r="D25" s="2"/>
      <c r="E25" s="5"/>
      <c r="F25" s="5"/>
      <c r="G25" s="5"/>
      <c r="H25" s="5"/>
      <c r="I25" s="5"/>
      <c r="J25" s="5"/>
      <c r="K25" s="5"/>
      <c r="L25" s="17"/>
      <c r="M25" s="6">
        <v>55</v>
      </c>
      <c r="N25" s="19"/>
      <c r="O25" s="4">
        <v>-28</v>
      </c>
      <c r="P25" s="19"/>
      <c r="Q25" s="5"/>
      <c r="R25" s="5"/>
      <c r="S25" s="5"/>
      <c r="T25" s="5"/>
      <c r="U25" s="5"/>
      <c r="V25" s="5"/>
      <c r="W25" s="5"/>
      <c r="X25" s="4">
        <v>9</v>
      </c>
      <c r="Y25" s="17"/>
      <c r="Z25" s="5"/>
      <c r="AA25" s="5"/>
      <c r="AB25" s="5"/>
      <c r="AC25" s="5"/>
      <c r="AD25" s="19"/>
      <c r="AE25" s="19" t="s">
        <v>37</v>
      </c>
      <c r="AF25" s="7">
        <v>14.5</v>
      </c>
      <c r="AG25" s="7">
        <v>5.05</v>
      </c>
      <c r="AH25" s="7">
        <f>AF25/AG25</f>
        <v>2.8712871287128712</v>
      </c>
    </row>
    <row r="26" spans="1:34" x14ac:dyDescent="0.4">
      <c r="A26" s="3"/>
      <c r="C26" s="13">
        <v>-25</v>
      </c>
      <c r="D26" s="2"/>
      <c r="E26" s="5"/>
      <c r="F26" s="5"/>
      <c r="G26" s="5">
        <v>14.2</v>
      </c>
      <c r="H26" s="5">
        <v>7.8</v>
      </c>
      <c r="I26" s="5"/>
      <c r="J26" s="5"/>
      <c r="K26" s="5">
        <v>1.8205128205128205</v>
      </c>
      <c r="L26" s="17"/>
      <c r="M26" s="6">
        <v>55</v>
      </c>
      <c r="N26" s="19"/>
      <c r="O26" s="13">
        <v>-25</v>
      </c>
      <c r="P26" s="19"/>
      <c r="Q26" s="5"/>
      <c r="R26" s="5"/>
      <c r="S26" s="5">
        <v>14</v>
      </c>
      <c r="T26" s="5">
        <v>10.53</v>
      </c>
      <c r="U26" s="5"/>
      <c r="V26" s="5"/>
      <c r="W26" s="5">
        <v>1.3295346628679963</v>
      </c>
      <c r="X26" s="19"/>
      <c r="Y26" s="17"/>
      <c r="Z26" s="5"/>
      <c r="AA26" s="5"/>
      <c r="AB26" s="5"/>
      <c r="AC26" s="5"/>
      <c r="AD26" s="19"/>
      <c r="AE26" s="19"/>
      <c r="AF26" s="7"/>
      <c r="AG26" s="7"/>
      <c r="AH26" s="7"/>
    </row>
    <row r="27" spans="1:34" x14ac:dyDescent="0.4">
      <c r="A27" s="46"/>
      <c r="C27" s="13">
        <v>-20</v>
      </c>
      <c r="D27" s="2"/>
      <c r="E27" s="5"/>
      <c r="F27" s="5"/>
      <c r="G27" s="5">
        <v>14.2</v>
      </c>
      <c r="H27" s="5">
        <v>6.1</v>
      </c>
      <c r="I27" s="5"/>
      <c r="J27" s="5"/>
      <c r="K27" s="5">
        <v>2.3278688524590163</v>
      </c>
      <c r="L27" s="17"/>
      <c r="M27" s="6">
        <v>65</v>
      </c>
      <c r="N27" s="19"/>
      <c r="O27" s="13">
        <v>-20</v>
      </c>
      <c r="P27" s="19"/>
      <c r="Q27" s="5"/>
      <c r="R27" s="5"/>
      <c r="S27" s="5">
        <v>14.2</v>
      </c>
      <c r="T27" s="5">
        <v>8.1</v>
      </c>
      <c r="U27" s="5"/>
      <c r="V27" s="5"/>
      <c r="W27" s="5">
        <v>1.7530864197530864</v>
      </c>
      <c r="X27" s="19"/>
      <c r="Y27" s="17"/>
      <c r="Z27" s="5"/>
      <c r="AA27" s="5"/>
      <c r="AB27" s="5"/>
      <c r="AC27" s="5"/>
      <c r="AD27" s="19"/>
      <c r="AE27" s="19" t="s">
        <v>38</v>
      </c>
      <c r="AF27" s="7">
        <v>15.5</v>
      </c>
      <c r="AG27" s="7">
        <v>4.5</v>
      </c>
      <c r="AH27" s="7">
        <f>AF27/AG27</f>
        <v>3.4444444444444446</v>
      </c>
    </row>
    <row r="28" spans="1:34" x14ac:dyDescent="0.4">
      <c r="A28" s="3"/>
      <c r="C28" s="2">
        <v>-15</v>
      </c>
      <c r="D28" s="2"/>
      <c r="E28" s="5"/>
      <c r="F28" s="5"/>
      <c r="G28" s="5">
        <v>16</v>
      </c>
      <c r="H28" s="5">
        <v>6.7</v>
      </c>
      <c r="I28" s="5"/>
      <c r="J28" s="5"/>
      <c r="K28" s="5">
        <v>2.3880597014925371</v>
      </c>
      <c r="L28" s="17"/>
      <c r="M28" s="6">
        <v>75</v>
      </c>
      <c r="N28" s="19"/>
      <c r="O28" s="13">
        <v>-15</v>
      </c>
      <c r="P28" s="19"/>
      <c r="Q28" s="5"/>
      <c r="R28" s="5"/>
      <c r="S28" s="5">
        <v>16</v>
      </c>
      <c r="T28" s="5">
        <v>8.6999999999999993</v>
      </c>
      <c r="U28" s="5"/>
      <c r="V28" s="5"/>
      <c r="W28" s="5">
        <v>1.8390804597701149</v>
      </c>
      <c r="X28" s="19"/>
      <c r="Y28" s="17"/>
      <c r="Z28" s="5"/>
      <c r="AA28" s="5"/>
      <c r="AB28" s="5"/>
      <c r="AC28" s="5"/>
      <c r="AD28" s="19"/>
      <c r="AE28" s="19" t="s">
        <v>40</v>
      </c>
      <c r="AF28" s="7">
        <v>15.5</v>
      </c>
      <c r="AG28" s="7">
        <v>3.95</v>
      </c>
      <c r="AH28" s="7">
        <f>AF28/AG28</f>
        <v>3.9240506329113924</v>
      </c>
    </row>
    <row r="29" spans="1:34" x14ac:dyDescent="0.4">
      <c r="A29" s="3"/>
      <c r="C29" s="2">
        <v>-10</v>
      </c>
      <c r="D29" s="2"/>
      <c r="E29" s="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9"/>
      <c r="O29" s="13">
        <v>-10</v>
      </c>
      <c r="P29" s="19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9"/>
      <c r="Y29" s="17" t="s">
        <v>39</v>
      </c>
      <c r="Z29" s="5">
        <v>16</v>
      </c>
      <c r="AA29" s="5">
        <v>2.72</v>
      </c>
      <c r="AB29" s="5">
        <v>16</v>
      </c>
      <c r="AC29" s="5">
        <v>2.04</v>
      </c>
      <c r="AD29" s="19"/>
      <c r="AE29" s="20"/>
      <c r="AF29" s="20"/>
      <c r="AG29" s="20"/>
      <c r="AH29" s="20"/>
    </row>
    <row r="30" spans="1:34" x14ac:dyDescent="0.4">
      <c r="A30" s="3"/>
      <c r="C30" s="2">
        <v>-7</v>
      </c>
      <c r="D30" s="2"/>
      <c r="E30" s="5"/>
      <c r="F30" s="5"/>
      <c r="G30" s="5">
        <v>16</v>
      </c>
      <c r="H30" s="5">
        <v>6.32</v>
      </c>
      <c r="I30" s="5"/>
      <c r="J30" s="5"/>
      <c r="K30" s="5">
        <v>2.5316455696202533</v>
      </c>
      <c r="L30" s="17"/>
      <c r="M30" s="6">
        <v>75</v>
      </c>
      <c r="N30" s="19"/>
      <c r="O30" s="13">
        <v>-7</v>
      </c>
      <c r="P30" s="19"/>
      <c r="Q30" s="5"/>
      <c r="R30" s="5"/>
      <c r="S30" s="5">
        <v>16</v>
      </c>
      <c r="T30" s="5">
        <v>8.1199999999999992</v>
      </c>
      <c r="U30" s="5"/>
      <c r="V30" s="5"/>
      <c r="W30" s="5">
        <v>1.9704433497536946</v>
      </c>
      <c r="X30" s="19"/>
      <c r="Y30" s="5">
        <f>AA30*(1.029-(0.05*Z30/G32))</f>
        <v>2.8357199999999994</v>
      </c>
      <c r="Z30" s="5">
        <v>14.2</v>
      </c>
      <c r="AA30" s="5">
        <v>2.88</v>
      </c>
      <c r="AB30" s="5">
        <v>14.2</v>
      </c>
      <c r="AC30" s="5">
        <v>2.2200000000000002</v>
      </c>
      <c r="AD30" s="19"/>
      <c r="AE30" s="19"/>
      <c r="AF30" s="19"/>
      <c r="AG30" s="19"/>
      <c r="AH30" s="20"/>
    </row>
    <row r="31" spans="1:34" x14ac:dyDescent="0.4">
      <c r="A31" s="3"/>
      <c r="C31" s="2">
        <v>2</v>
      </c>
      <c r="D31" s="2"/>
      <c r="E31" s="5"/>
      <c r="F31" s="5"/>
      <c r="G31" s="5">
        <v>16</v>
      </c>
      <c r="H31" s="5">
        <v>4.8499999999999996</v>
      </c>
      <c r="I31" s="5"/>
      <c r="J31" s="5"/>
      <c r="K31" s="5">
        <v>3.2989690721649483</v>
      </c>
      <c r="L31" s="17"/>
      <c r="M31" s="6">
        <v>75</v>
      </c>
      <c r="N31" s="19"/>
      <c r="O31" s="13">
        <v>2</v>
      </c>
      <c r="P31" s="19"/>
      <c r="Q31" s="5"/>
      <c r="R31" s="5"/>
      <c r="S31" s="5">
        <v>16</v>
      </c>
      <c r="T31" s="5">
        <v>6.75</v>
      </c>
      <c r="U31" s="5"/>
      <c r="V31" s="5"/>
      <c r="W31" s="5">
        <v>2.3703703703703702</v>
      </c>
      <c r="X31" s="19"/>
      <c r="Y31" s="5">
        <f>AA31*(0.906-(0.044*Z31/G32))</f>
        <v>4.0499865000000002</v>
      </c>
      <c r="Z31" s="5">
        <v>8.6</v>
      </c>
      <c r="AA31" s="5">
        <v>4.59</v>
      </c>
      <c r="AB31" s="5">
        <v>8.6</v>
      </c>
      <c r="AC31" s="5">
        <v>3.66</v>
      </c>
      <c r="AD31" s="19"/>
      <c r="AE31" s="19"/>
      <c r="AF31" s="19"/>
      <c r="AG31" s="19"/>
      <c r="AH31" s="20"/>
    </row>
    <row r="32" spans="1:34" x14ac:dyDescent="0.4">
      <c r="A32" s="3"/>
      <c r="C32" s="2">
        <v>7</v>
      </c>
      <c r="D32" s="2"/>
      <c r="E32" s="5"/>
      <c r="F32" s="5"/>
      <c r="G32" s="5">
        <v>16</v>
      </c>
      <c r="H32" s="5">
        <v>3.27</v>
      </c>
      <c r="I32" s="5"/>
      <c r="J32" s="5"/>
      <c r="K32" s="5">
        <v>4.8929663608562688</v>
      </c>
      <c r="L32" s="17"/>
      <c r="M32" s="6">
        <v>75</v>
      </c>
      <c r="N32" s="19"/>
      <c r="O32" s="13">
        <v>7</v>
      </c>
      <c r="P32" s="19"/>
      <c r="Q32" s="5"/>
      <c r="R32" s="5"/>
      <c r="S32" s="5">
        <v>16</v>
      </c>
      <c r="T32" s="5">
        <v>5</v>
      </c>
      <c r="U32" s="5"/>
      <c r="V32" s="5"/>
      <c r="W32" s="5">
        <v>3.2</v>
      </c>
      <c r="X32" s="19"/>
      <c r="Y32" s="5">
        <f>K32</f>
        <v>4.8929663608562688</v>
      </c>
      <c r="Z32" s="5">
        <v>5.5</v>
      </c>
      <c r="AA32" s="5">
        <v>6.33</v>
      </c>
      <c r="AB32" s="5">
        <v>5.5</v>
      </c>
      <c r="AC32" s="5">
        <v>4.8099999999999996</v>
      </c>
      <c r="AD32" s="19"/>
      <c r="AE32" s="19"/>
      <c r="AF32" s="19"/>
      <c r="AG32" s="19"/>
      <c r="AH32" s="20"/>
    </row>
    <row r="33" spans="1:34" x14ac:dyDescent="0.4">
      <c r="A33" s="3"/>
      <c r="C33" s="2">
        <v>12</v>
      </c>
      <c r="D33" s="2"/>
      <c r="E33" s="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9"/>
      <c r="O33" s="13">
        <v>12</v>
      </c>
      <c r="P33" s="19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9"/>
      <c r="Y33" s="17"/>
      <c r="Z33" s="5">
        <v>5.8</v>
      </c>
      <c r="AA33" s="5">
        <v>7.83</v>
      </c>
      <c r="AB33" s="5">
        <v>5.5</v>
      </c>
      <c r="AC33" s="5">
        <v>5.78</v>
      </c>
      <c r="AD33" s="19"/>
      <c r="AE33" s="19"/>
      <c r="AF33" s="19"/>
      <c r="AG33" s="19"/>
      <c r="AH33" s="20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s="1" customFormat="1" x14ac:dyDescent="0.4">
      <c r="A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s="15"/>
      <c r="AG35" s="15"/>
      <c r="AH35" s="15"/>
    </row>
    <row r="36" spans="1:34" x14ac:dyDescent="0.4">
      <c r="A36" s="47" t="s">
        <v>41</v>
      </c>
    </row>
    <row r="38" spans="1:34" x14ac:dyDescent="0.4">
      <c r="A38"/>
    </row>
    <row r="39" spans="1:34" x14ac:dyDescent="0.4">
      <c r="A39"/>
    </row>
    <row r="41" spans="1:34" x14ac:dyDescent="0.4">
      <c r="A41"/>
    </row>
    <row r="42" spans="1:34" x14ac:dyDescent="0.4">
      <c r="A42"/>
    </row>
    <row r="44" spans="1:34" x14ac:dyDescent="0.4">
      <c r="A44"/>
    </row>
    <row r="45" spans="1:34" x14ac:dyDescent="0.4">
      <c r="A4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6A1-3F4D-4496-B85D-69D1F0EFA23B}">
  <sheetPr>
    <tabColor theme="4" tint="0.79998168889431442"/>
  </sheetPr>
  <dimension ref="A1:AH55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55" sqref="B55"/>
    </sheetView>
  </sheetViews>
  <sheetFormatPr baseColWidth="10" defaultColWidth="11.46093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5" max="7" width="8.84375" customWidth="1"/>
    <col min="8" max="8" width="10.3046875" customWidth="1"/>
    <col min="9" max="11" width="8.843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4" x14ac:dyDescent="0.4">
      <c r="C1" s="1" t="s">
        <v>17</v>
      </c>
    </row>
    <row r="2" spans="1:34" x14ac:dyDescent="0.4">
      <c r="C2" s="1" t="s">
        <v>18</v>
      </c>
      <c r="O2" s="1" t="s">
        <v>19</v>
      </c>
      <c r="AF2" s="1"/>
    </row>
    <row r="3" spans="1:34" s="1" customFormat="1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4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4" x14ac:dyDescent="0.4">
      <c r="A5" s="3" t="s">
        <v>149</v>
      </c>
      <c r="B5" s="1" t="s">
        <v>132</v>
      </c>
      <c r="C5" s="4">
        <v>-28</v>
      </c>
      <c r="D5" s="2"/>
      <c r="E5" s="35"/>
      <c r="F5" s="5"/>
      <c r="G5" s="5"/>
      <c r="H5" s="5"/>
      <c r="I5" s="5"/>
      <c r="J5" s="5"/>
      <c r="K5" s="5"/>
      <c r="L5" s="17"/>
      <c r="M5" s="6">
        <v>55</v>
      </c>
      <c r="N5" s="13"/>
      <c r="O5" s="4">
        <v>-28</v>
      </c>
      <c r="P5" s="13"/>
      <c r="Q5" s="5"/>
      <c r="R5" s="5"/>
      <c r="S5" s="5"/>
      <c r="T5" s="5"/>
      <c r="U5" s="5"/>
      <c r="V5" s="5"/>
      <c r="W5" s="5"/>
      <c r="X5" s="4">
        <v>3</v>
      </c>
      <c r="Y5" s="17"/>
      <c r="Z5" s="5"/>
      <c r="AA5" s="5"/>
      <c r="AB5" s="5"/>
      <c r="AC5" s="5"/>
      <c r="AD5" s="13"/>
      <c r="AE5" s="13" t="s">
        <v>37</v>
      </c>
      <c r="AF5" s="7">
        <v>9</v>
      </c>
      <c r="AG5" s="7">
        <v>2.4900000000000002</v>
      </c>
      <c r="AH5" s="7">
        <f>AF5/AG5</f>
        <v>3.6144578313253009</v>
      </c>
    </row>
    <row r="6" spans="1:34" x14ac:dyDescent="0.4">
      <c r="A6" s="3"/>
      <c r="C6" s="13">
        <v>-25</v>
      </c>
      <c r="D6" s="2"/>
      <c r="E6" s="35"/>
      <c r="F6" s="5"/>
      <c r="G6" s="5">
        <v>8.1999999999999993</v>
      </c>
      <c r="H6" s="5">
        <v>4.2</v>
      </c>
      <c r="I6" s="5"/>
      <c r="J6" s="5"/>
      <c r="K6" s="5">
        <v>1.9523809523809523</v>
      </c>
      <c r="L6" s="17"/>
      <c r="M6" s="6">
        <v>55</v>
      </c>
      <c r="N6" s="13"/>
      <c r="O6" s="13">
        <v>-25</v>
      </c>
      <c r="P6" s="13"/>
      <c r="Q6" s="5"/>
      <c r="R6" s="5"/>
      <c r="S6" s="5">
        <v>7.6</v>
      </c>
      <c r="T6" s="5">
        <v>5.7</v>
      </c>
      <c r="U6" s="5"/>
      <c r="V6" s="5"/>
      <c r="W6" s="5">
        <v>1.3333333333333333</v>
      </c>
      <c r="X6" s="19"/>
      <c r="Y6" s="17"/>
      <c r="Z6" s="5"/>
      <c r="AA6" s="5"/>
      <c r="AB6" s="5"/>
      <c r="AC6" s="5"/>
      <c r="AD6" s="13"/>
      <c r="AE6" s="13"/>
      <c r="AF6" s="7"/>
      <c r="AG6" s="7"/>
      <c r="AH6" s="7"/>
    </row>
    <row r="7" spans="1:34" x14ac:dyDescent="0.4">
      <c r="A7" s="46"/>
      <c r="C7" s="13">
        <v>-20</v>
      </c>
      <c r="D7" s="2"/>
      <c r="E7" s="35"/>
      <c r="F7" s="5"/>
      <c r="G7" s="5">
        <v>8.1999999999999993</v>
      </c>
      <c r="H7" s="5">
        <v>3.34</v>
      </c>
      <c r="I7" s="5"/>
      <c r="J7" s="5"/>
      <c r="K7" s="5">
        <v>2.4550898203592815</v>
      </c>
      <c r="L7" s="17"/>
      <c r="M7" s="6">
        <v>65</v>
      </c>
      <c r="N7" s="13"/>
      <c r="O7" s="13">
        <v>-20</v>
      </c>
      <c r="P7" s="13"/>
      <c r="Q7" s="5"/>
      <c r="R7" s="5"/>
      <c r="S7" s="5">
        <v>7.6</v>
      </c>
      <c r="T7" s="5">
        <v>4.76</v>
      </c>
      <c r="U7" s="5"/>
      <c r="V7" s="5"/>
      <c r="W7" s="5">
        <v>1.596638655462185</v>
      </c>
      <c r="X7" s="13"/>
      <c r="Y7" s="17"/>
      <c r="Z7" s="5"/>
      <c r="AA7" s="5"/>
      <c r="AB7" s="5"/>
      <c r="AC7" s="5"/>
      <c r="AD7" s="13"/>
      <c r="AE7" s="13" t="s">
        <v>38</v>
      </c>
      <c r="AF7" s="7">
        <v>9.8000000000000007</v>
      </c>
      <c r="AG7" s="7">
        <v>2.63</v>
      </c>
      <c r="AH7" s="7">
        <f>AF7/AG7</f>
        <v>3.7262357414448672</v>
      </c>
    </row>
    <row r="8" spans="1:34" x14ac:dyDescent="0.4">
      <c r="A8" s="3"/>
      <c r="C8" s="2">
        <v>-15</v>
      </c>
      <c r="D8" s="2"/>
      <c r="E8" s="35"/>
      <c r="F8" s="5"/>
      <c r="G8" s="5">
        <v>9</v>
      </c>
      <c r="H8" s="5">
        <v>3.3</v>
      </c>
      <c r="I8" s="5"/>
      <c r="J8" s="5"/>
      <c r="K8" s="5">
        <v>2.7272727272727271</v>
      </c>
      <c r="L8" s="17"/>
      <c r="M8" s="6">
        <v>75</v>
      </c>
      <c r="N8" s="13"/>
      <c r="O8" s="13">
        <v>-15</v>
      </c>
      <c r="P8" s="13"/>
      <c r="Q8" s="5"/>
      <c r="R8" s="5"/>
      <c r="S8" s="5">
        <v>9</v>
      </c>
      <c r="T8" s="5">
        <v>4.4800000000000004</v>
      </c>
      <c r="U8" s="5"/>
      <c r="V8" s="5"/>
      <c r="W8" s="5">
        <v>2.0089285714285716</v>
      </c>
      <c r="X8" s="13"/>
      <c r="Y8" s="17"/>
      <c r="Z8" s="5"/>
      <c r="AA8" s="5"/>
      <c r="AB8" s="5"/>
      <c r="AC8" s="5"/>
      <c r="AD8" s="13"/>
      <c r="AE8" s="13" t="s">
        <v>40</v>
      </c>
      <c r="AF8" s="7">
        <v>9</v>
      </c>
      <c r="AG8" s="7">
        <v>1.71</v>
      </c>
      <c r="AH8" s="7">
        <f>AF8/AG8</f>
        <v>5.2631578947368425</v>
      </c>
    </row>
    <row r="9" spans="1:34" x14ac:dyDescent="0.4">
      <c r="A9" s="3"/>
      <c r="C9" s="2">
        <v>-10</v>
      </c>
      <c r="D9" s="2"/>
      <c r="E9" s="35"/>
      <c r="F9" s="5"/>
      <c r="G9" s="29" t="s">
        <v>61</v>
      </c>
      <c r="H9" s="29" t="s">
        <v>61</v>
      </c>
      <c r="I9" s="5"/>
      <c r="J9" s="5"/>
      <c r="K9" s="29" t="s">
        <v>61</v>
      </c>
      <c r="L9" s="17"/>
      <c r="M9" s="6">
        <v>75</v>
      </c>
      <c r="N9" s="13"/>
      <c r="O9" s="13">
        <v>-10</v>
      </c>
      <c r="P9" s="13"/>
      <c r="Q9" s="5"/>
      <c r="R9" s="5"/>
      <c r="S9" s="29" t="s">
        <v>61</v>
      </c>
      <c r="T9" s="29" t="s">
        <v>61</v>
      </c>
      <c r="U9" s="5"/>
      <c r="V9" s="5"/>
      <c r="W9" s="29" t="s">
        <v>61</v>
      </c>
      <c r="X9" s="13"/>
      <c r="Y9" s="17" t="s">
        <v>39</v>
      </c>
      <c r="Z9" s="5">
        <v>9</v>
      </c>
      <c r="AA9" s="5">
        <v>3.19</v>
      </c>
      <c r="AB9" s="5">
        <v>9</v>
      </c>
      <c r="AC9" s="5">
        <v>2.17</v>
      </c>
      <c r="AD9" s="13"/>
    </row>
    <row r="10" spans="1:34" x14ac:dyDescent="0.4">
      <c r="A10" s="3"/>
      <c r="C10" s="2">
        <v>-7</v>
      </c>
      <c r="D10" s="2"/>
      <c r="E10" s="35"/>
      <c r="F10" s="5"/>
      <c r="G10" s="5">
        <v>9</v>
      </c>
      <c r="H10" s="5">
        <v>2.61</v>
      </c>
      <c r="I10" s="5"/>
      <c r="J10" s="5"/>
      <c r="K10" s="5">
        <v>3.4482758620689653</v>
      </c>
      <c r="L10" s="17"/>
      <c r="M10" s="6">
        <v>75</v>
      </c>
      <c r="N10" s="13"/>
      <c r="O10" s="13">
        <v>-7</v>
      </c>
      <c r="P10" s="13"/>
      <c r="Q10" s="5"/>
      <c r="R10" s="5"/>
      <c r="S10" s="5">
        <v>9</v>
      </c>
      <c r="T10" s="5">
        <v>3.83</v>
      </c>
      <c r="U10" s="5"/>
      <c r="V10" s="5"/>
      <c r="W10" s="5">
        <v>2.3498694516971281</v>
      </c>
      <c r="X10" s="13"/>
      <c r="Y10" s="5">
        <f>AA10*(1.029-(0.05*Z10/G12))</f>
        <v>3.4656355555555556</v>
      </c>
      <c r="Z10" s="5">
        <v>8</v>
      </c>
      <c r="AA10" s="5">
        <v>3.52</v>
      </c>
      <c r="AB10" s="5">
        <v>8</v>
      </c>
      <c r="AC10" s="5">
        <v>2.4900000000000002</v>
      </c>
      <c r="AD10" s="13"/>
      <c r="AE10" s="13"/>
      <c r="AF10" s="19"/>
      <c r="AG10" s="19"/>
      <c r="AH10" s="20"/>
    </row>
    <row r="11" spans="1:34" x14ac:dyDescent="0.4">
      <c r="A11" s="3"/>
      <c r="C11" s="2">
        <v>2</v>
      </c>
      <c r="D11" s="2"/>
      <c r="E11" s="35"/>
      <c r="F11" s="5"/>
      <c r="G11" s="5">
        <v>9</v>
      </c>
      <c r="H11" s="5">
        <v>2.36</v>
      </c>
      <c r="I11" s="5"/>
      <c r="J11" s="5"/>
      <c r="K11" s="5">
        <v>3.8135593220338984</v>
      </c>
      <c r="L11" s="17"/>
      <c r="M11" s="6">
        <v>75</v>
      </c>
      <c r="N11" s="13"/>
      <c r="O11" s="13">
        <v>2</v>
      </c>
      <c r="P11" s="13"/>
      <c r="Q11" s="5"/>
      <c r="R11" s="5"/>
      <c r="S11" s="5">
        <v>9</v>
      </c>
      <c r="T11" s="5">
        <v>3.54</v>
      </c>
      <c r="U11" s="5"/>
      <c r="V11" s="5"/>
      <c r="W11" s="5">
        <v>2.5423728813559321</v>
      </c>
      <c r="X11" s="13"/>
      <c r="Y11" s="5">
        <f>AA11*(0.906-(0.044*Z11/G12))</f>
        <v>4.2690951111111115</v>
      </c>
      <c r="Z11" s="5">
        <v>4.9000000000000004</v>
      </c>
      <c r="AA11" s="5">
        <v>4.84</v>
      </c>
      <c r="AB11" s="5">
        <v>4.9000000000000004</v>
      </c>
      <c r="AC11" s="5">
        <v>3.29</v>
      </c>
      <c r="AD11" s="13"/>
      <c r="AE11" s="13"/>
      <c r="AF11" s="19"/>
      <c r="AG11" s="19"/>
      <c r="AH11" s="20"/>
    </row>
    <row r="12" spans="1:34" x14ac:dyDescent="0.4">
      <c r="A12" s="3"/>
      <c r="C12" s="2">
        <v>7</v>
      </c>
      <c r="D12" s="2"/>
      <c r="E12" s="35"/>
      <c r="F12" s="5"/>
      <c r="G12" s="5">
        <v>9</v>
      </c>
      <c r="H12" s="5">
        <v>1.72</v>
      </c>
      <c r="I12" s="5"/>
      <c r="J12" s="5"/>
      <c r="K12" s="5">
        <v>5.2325581395348841</v>
      </c>
      <c r="L12" s="17"/>
      <c r="M12" s="6">
        <v>75</v>
      </c>
      <c r="N12" s="13"/>
      <c r="O12" s="13">
        <v>7</v>
      </c>
      <c r="P12" s="13"/>
      <c r="Q12" s="5"/>
      <c r="R12" s="5"/>
      <c r="S12" s="5">
        <v>9</v>
      </c>
      <c r="T12" s="5">
        <v>2.78</v>
      </c>
      <c r="U12" s="5"/>
      <c r="V12" s="5"/>
      <c r="W12" s="5">
        <v>3.2374100719424459</v>
      </c>
      <c r="X12" s="13"/>
      <c r="Y12" s="5">
        <f>K12</f>
        <v>5.2325581395348841</v>
      </c>
      <c r="Z12" s="5">
        <v>4.8</v>
      </c>
      <c r="AA12" s="5">
        <v>6.15</v>
      </c>
      <c r="AB12" s="5">
        <v>4.7</v>
      </c>
      <c r="AC12" s="5">
        <v>4.42</v>
      </c>
      <c r="AD12" s="13"/>
      <c r="AE12" s="13"/>
      <c r="AF12" s="19"/>
      <c r="AG12" s="19"/>
      <c r="AH12" s="20"/>
    </row>
    <row r="13" spans="1:34" x14ac:dyDescent="0.4">
      <c r="A13" s="3"/>
      <c r="C13" s="2">
        <v>12</v>
      </c>
      <c r="D13" s="2"/>
      <c r="E13" s="35"/>
      <c r="F13" s="5"/>
      <c r="G13" s="29" t="s">
        <v>61</v>
      </c>
      <c r="H13" s="29" t="s">
        <v>61</v>
      </c>
      <c r="I13" s="5"/>
      <c r="J13" s="5"/>
      <c r="K13" s="29" t="s">
        <v>61</v>
      </c>
      <c r="L13" s="17"/>
      <c r="M13" s="6">
        <v>75</v>
      </c>
      <c r="N13" s="13"/>
      <c r="O13" s="13">
        <v>12</v>
      </c>
      <c r="P13" s="13"/>
      <c r="Q13" s="5"/>
      <c r="R13" s="5"/>
      <c r="S13" s="29" t="s">
        <v>61</v>
      </c>
      <c r="T13" s="29" t="s">
        <v>61</v>
      </c>
      <c r="U13" s="5"/>
      <c r="V13" s="5"/>
      <c r="W13" s="29" t="s">
        <v>61</v>
      </c>
      <c r="X13" s="13"/>
      <c r="Y13" s="17"/>
      <c r="Z13" s="5">
        <v>5.7</v>
      </c>
      <c r="AA13" s="5">
        <v>7.8</v>
      </c>
      <c r="AB13" s="5">
        <v>5.6</v>
      </c>
      <c r="AC13" s="5">
        <v>5.78</v>
      </c>
      <c r="AD13" s="13"/>
      <c r="AE13" s="13"/>
      <c r="AF13" s="19"/>
      <c r="AG13" s="19"/>
      <c r="AH13" s="20"/>
    </row>
    <row r="14" spans="1:34" x14ac:dyDescent="0.4">
      <c r="A14" s="8"/>
      <c r="B14" s="8"/>
      <c r="C14" s="9"/>
      <c r="D14" s="9"/>
      <c r="E14" s="18"/>
      <c r="F14" s="18"/>
      <c r="G14" s="38"/>
      <c r="H14" s="37"/>
      <c r="I14" s="22"/>
      <c r="J14" s="22"/>
      <c r="K14" s="37"/>
      <c r="L14" s="18"/>
      <c r="M14" s="14"/>
      <c r="N14" s="14"/>
      <c r="O14" s="14"/>
      <c r="P14" s="14"/>
      <c r="Q14" s="18"/>
      <c r="R14" s="22"/>
      <c r="S14" s="22"/>
      <c r="T14" s="22"/>
      <c r="U14" s="22"/>
      <c r="V14" s="22"/>
      <c r="W14" s="22"/>
      <c r="X14" s="14"/>
      <c r="Y14" s="31"/>
      <c r="Z14" s="31"/>
      <c r="AA14" s="31"/>
      <c r="AB14" s="31"/>
      <c r="AC14" s="31"/>
      <c r="AD14" s="14"/>
      <c r="AE14" s="14"/>
      <c r="AF14" s="14"/>
      <c r="AG14" s="14"/>
      <c r="AH14" s="14"/>
    </row>
    <row r="15" spans="1:34" ht="14.4" customHeight="1" x14ac:dyDescent="0.4">
      <c r="A15" s="3" t="s">
        <v>148</v>
      </c>
      <c r="B15" s="1" t="s">
        <v>132</v>
      </c>
      <c r="C15" s="4">
        <v>-28</v>
      </c>
      <c r="D15" s="2"/>
      <c r="E15" s="35"/>
      <c r="F15" s="5"/>
      <c r="G15" s="5"/>
      <c r="H15" s="5"/>
      <c r="I15" s="5"/>
      <c r="J15" s="5"/>
      <c r="K15" s="5"/>
      <c r="L15" s="17"/>
      <c r="M15" s="6">
        <v>55</v>
      </c>
      <c r="N15" s="13"/>
      <c r="O15" s="4">
        <v>-28</v>
      </c>
      <c r="P15" s="13"/>
      <c r="Q15" s="5"/>
      <c r="R15" s="5"/>
      <c r="S15" s="5"/>
      <c r="T15" s="5"/>
      <c r="U15" s="5"/>
      <c r="V15" s="5"/>
      <c r="W15" s="5"/>
      <c r="X15" s="4">
        <v>3</v>
      </c>
      <c r="Y15" s="17"/>
      <c r="Z15" s="5"/>
      <c r="AA15" s="5"/>
      <c r="AB15" s="5"/>
      <c r="AC15" s="5"/>
      <c r="AD15" s="13"/>
      <c r="AE15" s="13" t="s">
        <v>37</v>
      </c>
      <c r="AF15" s="7">
        <v>9</v>
      </c>
      <c r="AG15" s="7">
        <v>2.4900000000000002</v>
      </c>
      <c r="AH15" s="7">
        <f>AF15/AG15</f>
        <v>3.6144578313253009</v>
      </c>
    </row>
    <row r="16" spans="1:34" ht="14.4" customHeight="1" x14ac:dyDescent="0.4">
      <c r="A16" s="3"/>
      <c r="C16" s="13">
        <v>-25</v>
      </c>
      <c r="D16" s="2"/>
      <c r="E16" s="35"/>
      <c r="F16" s="5"/>
      <c r="G16" s="5">
        <v>8.1999999999999993</v>
      </c>
      <c r="H16" s="5">
        <v>4.2</v>
      </c>
      <c r="I16" s="5"/>
      <c r="J16" s="5"/>
      <c r="K16" s="5">
        <v>1.9523809523809523</v>
      </c>
      <c r="L16" s="17"/>
      <c r="M16" s="6">
        <v>55</v>
      </c>
      <c r="N16" s="13"/>
      <c r="O16" s="13">
        <v>-25</v>
      </c>
      <c r="P16" s="13"/>
      <c r="Q16" s="5"/>
      <c r="R16" s="5"/>
      <c r="S16" s="5">
        <v>7.6</v>
      </c>
      <c r="T16" s="5">
        <v>5.7</v>
      </c>
      <c r="U16" s="5"/>
      <c r="V16" s="5"/>
      <c r="W16" s="5">
        <v>1.3333333333333333</v>
      </c>
      <c r="X16" s="19"/>
      <c r="Y16" s="17"/>
      <c r="Z16" s="5"/>
      <c r="AA16" s="5"/>
      <c r="AB16" s="5"/>
      <c r="AC16" s="5"/>
      <c r="AD16" s="13"/>
      <c r="AE16" s="13"/>
      <c r="AF16" s="7"/>
      <c r="AG16" s="7"/>
      <c r="AH16" s="7"/>
    </row>
    <row r="17" spans="1:34" x14ac:dyDescent="0.4">
      <c r="A17" s="46"/>
      <c r="C17" s="13">
        <v>-20</v>
      </c>
      <c r="D17" s="2"/>
      <c r="E17" s="35"/>
      <c r="F17" s="5"/>
      <c r="G17" s="5">
        <v>8.1999999999999993</v>
      </c>
      <c r="H17" s="5">
        <v>3.34</v>
      </c>
      <c r="I17" s="5"/>
      <c r="J17" s="5"/>
      <c r="K17" s="5">
        <v>2.4550898203592815</v>
      </c>
      <c r="L17" s="17"/>
      <c r="M17" s="6">
        <v>65</v>
      </c>
      <c r="N17" s="13"/>
      <c r="O17" s="13">
        <v>-20</v>
      </c>
      <c r="P17" s="13"/>
      <c r="Q17" s="5"/>
      <c r="R17" s="5"/>
      <c r="S17" s="5">
        <v>7.6</v>
      </c>
      <c r="T17" s="5">
        <v>4.76</v>
      </c>
      <c r="U17" s="5"/>
      <c r="V17" s="5"/>
      <c r="W17" s="5">
        <v>1.596638655462185</v>
      </c>
      <c r="X17" s="13"/>
      <c r="Y17" s="17"/>
      <c r="Z17" s="5"/>
      <c r="AA17" s="5"/>
      <c r="AB17" s="5"/>
      <c r="AC17" s="5"/>
      <c r="AD17" s="13"/>
      <c r="AE17" s="13" t="s">
        <v>38</v>
      </c>
      <c r="AF17" s="7">
        <v>9.8000000000000007</v>
      </c>
      <c r="AG17" s="7">
        <v>2.63</v>
      </c>
      <c r="AH17" s="7">
        <f>AF17/AG17</f>
        <v>3.7262357414448672</v>
      </c>
    </row>
    <row r="18" spans="1:34" x14ac:dyDescent="0.4">
      <c r="A18" s="3"/>
      <c r="C18" s="2">
        <v>-15</v>
      </c>
      <c r="D18" s="2"/>
      <c r="E18" s="35"/>
      <c r="F18" s="5"/>
      <c r="G18" s="5">
        <v>9</v>
      </c>
      <c r="H18" s="5">
        <v>3.3</v>
      </c>
      <c r="I18" s="5"/>
      <c r="J18" s="5"/>
      <c r="K18" s="5">
        <v>2.7272727272727271</v>
      </c>
      <c r="L18" s="17"/>
      <c r="M18" s="6">
        <v>75</v>
      </c>
      <c r="N18" s="13"/>
      <c r="O18" s="13">
        <v>-15</v>
      </c>
      <c r="P18" s="13"/>
      <c r="Q18" s="5"/>
      <c r="R18" s="5"/>
      <c r="S18" s="5">
        <v>9</v>
      </c>
      <c r="T18" s="5">
        <v>4.4800000000000004</v>
      </c>
      <c r="U18" s="5"/>
      <c r="V18" s="5"/>
      <c r="W18" s="5">
        <v>2.0089285714285716</v>
      </c>
      <c r="X18" s="13"/>
      <c r="Y18" s="17"/>
      <c r="Z18" s="5"/>
      <c r="AA18" s="5"/>
      <c r="AB18" s="5"/>
      <c r="AC18" s="5"/>
      <c r="AD18" s="13"/>
      <c r="AE18" s="13" t="s">
        <v>40</v>
      </c>
      <c r="AF18" s="7">
        <v>9</v>
      </c>
      <c r="AG18" s="7">
        <v>1.71</v>
      </c>
      <c r="AH18" s="7">
        <f>AF18/AG18</f>
        <v>5.2631578947368425</v>
      </c>
    </row>
    <row r="19" spans="1:34" x14ac:dyDescent="0.4">
      <c r="A19" s="3"/>
      <c r="C19" s="2">
        <v>-10</v>
      </c>
      <c r="D19" s="2"/>
      <c r="E19" s="35"/>
      <c r="F19" s="5"/>
      <c r="G19" s="29" t="s">
        <v>61</v>
      </c>
      <c r="H19" s="29" t="s">
        <v>61</v>
      </c>
      <c r="I19" s="5"/>
      <c r="J19" s="5"/>
      <c r="K19" s="29" t="s">
        <v>61</v>
      </c>
      <c r="L19" s="17"/>
      <c r="M19" s="6">
        <v>75</v>
      </c>
      <c r="N19" s="13"/>
      <c r="O19" s="13">
        <v>-10</v>
      </c>
      <c r="P19" s="13"/>
      <c r="Q19" s="5"/>
      <c r="R19" s="5"/>
      <c r="S19" s="29" t="s">
        <v>61</v>
      </c>
      <c r="T19" s="29" t="s">
        <v>61</v>
      </c>
      <c r="U19" s="5"/>
      <c r="V19" s="5"/>
      <c r="W19" s="29" t="s">
        <v>61</v>
      </c>
      <c r="X19" s="13"/>
      <c r="Y19" s="17" t="s">
        <v>39</v>
      </c>
      <c r="Z19" s="5">
        <v>9</v>
      </c>
      <c r="AA19" s="5">
        <v>3.19</v>
      </c>
      <c r="AB19" s="5">
        <v>9</v>
      </c>
      <c r="AC19" s="5">
        <v>2.17</v>
      </c>
      <c r="AD19" s="13"/>
    </row>
    <row r="20" spans="1:34" x14ac:dyDescent="0.4">
      <c r="A20" s="3"/>
      <c r="C20" s="2">
        <v>-7</v>
      </c>
      <c r="D20" s="2"/>
      <c r="E20" s="35"/>
      <c r="F20" s="5"/>
      <c r="G20" s="5">
        <v>9</v>
      </c>
      <c r="H20" s="5">
        <v>2.61</v>
      </c>
      <c r="I20" s="5"/>
      <c r="J20" s="5"/>
      <c r="K20" s="5">
        <v>3.4482758620689653</v>
      </c>
      <c r="L20" s="17"/>
      <c r="M20" s="6">
        <v>75</v>
      </c>
      <c r="N20" s="13"/>
      <c r="O20" s="13">
        <v>-7</v>
      </c>
      <c r="P20" s="13"/>
      <c r="Q20" s="5"/>
      <c r="R20" s="5"/>
      <c r="S20" s="5">
        <v>9</v>
      </c>
      <c r="T20" s="5">
        <v>3.83</v>
      </c>
      <c r="U20" s="5"/>
      <c r="V20" s="5"/>
      <c r="W20" s="5">
        <v>2.3498694516971281</v>
      </c>
      <c r="X20" s="13"/>
      <c r="Y20" s="5">
        <f>AA20*(1.029-(0.05*Z20/G22))</f>
        <v>3.4656355555555556</v>
      </c>
      <c r="Z20" s="5">
        <v>8</v>
      </c>
      <c r="AA20" s="5">
        <v>3.52</v>
      </c>
      <c r="AB20" s="5">
        <v>8</v>
      </c>
      <c r="AC20" s="5">
        <v>2.4900000000000002</v>
      </c>
      <c r="AD20" s="13"/>
      <c r="AE20" s="13"/>
      <c r="AF20" s="19"/>
      <c r="AG20" s="19"/>
      <c r="AH20" s="20"/>
    </row>
    <row r="21" spans="1:34" x14ac:dyDescent="0.4">
      <c r="A21" s="3"/>
      <c r="C21" s="2">
        <v>2</v>
      </c>
      <c r="D21" s="2"/>
      <c r="E21" s="35"/>
      <c r="F21" s="5"/>
      <c r="G21" s="5">
        <v>9</v>
      </c>
      <c r="H21" s="5">
        <v>2.36</v>
      </c>
      <c r="I21" s="5"/>
      <c r="J21" s="5"/>
      <c r="K21" s="5">
        <v>3.8135593220338984</v>
      </c>
      <c r="L21" s="17"/>
      <c r="M21" s="6">
        <v>75</v>
      </c>
      <c r="N21" s="13"/>
      <c r="O21" s="13">
        <v>2</v>
      </c>
      <c r="P21" s="13"/>
      <c r="Q21" s="5"/>
      <c r="R21" s="5"/>
      <c r="S21" s="5">
        <v>9</v>
      </c>
      <c r="T21" s="5">
        <v>3.54</v>
      </c>
      <c r="U21" s="5"/>
      <c r="V21" s="5"/>
      <c r="W21" s="5">
        <v>2.5423728813559321</v>
      </c>
      <c r="X21" s="13"/>
      <c r="Y21" s="5">
        <f>AA21*(0.906-(0.044*Z21/G22))</f>
        <v>4.2690951111111115</v>
      </c>
      <c r="Z21" s="5">
        <v>4.9000000000000004</v>
      </c>
      <c r="AA21" s="5">
        <v>4.84</v>
      </c>
      <c r="AB21" s="5">
        <v>4.9000000000000004</v>
      </c>
      <c r="AC21" s="5">
        <v>3.29</v>
      </c>
      <c r="AD21" s="13"/>
      <c r="AE21" s="13"/>
      <c r="AF21" s="19"/>
      <c r="AG21" s="19"/>
      <c r="AH21" s="20"/>
    </row>
    <row r="22" spans="1:34" x14ac:dyDescent="0.4">
      <c r="A22" s="3"/>
      <c r="C22" s="2">
        <v>7</v>
      </c>
      <c r="D22" s="2"/>
      <c r="E22" s="35"/>
      <c r="F22" s="5"/>
      <c r="G22" s="5">
        <v>9</v>
      </c>
      <c r="H22" s="5">
        <v>1.72</v>
      </c>
      <c r="I22" s="5"/>
      <c r="J22" s="5"/>
      <c r="K22" s="5">
        <v>5.2325581395348841</v>
      </c>
      <c r="L22" s="17"/>
      <c r="M22" s="6">
        <v>75</v>
      </c>
      <c r="N22" s="13"/>
      <c r="O22" s="13">
        <v>7</v>
      </c>
      <c r="P22" s="13"/>
      <c r="Q22" s="5"/>
      <c r="R22" s="5"/>
      <c r="S22" s="5">
        <v>9</v>
      </c>
      <c r="T22" s="5">
        <v>2.78</v>
      </c>
      <c r="U22" s="5"/>
      <c r="V22" s="5"/>
      <c r="W22" s="5">
        <v>3.2374100719424459</v>
      </c>
      <c r="X22" s="13"/>
      <c r="Y22" s="5">
        <f>K22</f>
        <v>5.2325581395348841</v>
      </c>
      <c r="Z22" s="5">
        <v>4.8</v>
      </c>
      <c r="AA22" s="5">
        <v>6.15</v>
      </c>
      <c r="AB22" s="5">
        <v>4.7</v>
      </c>
      <c r="AC22" s="5">
        <v>4.42</v>
      </c>
      <c r="AD22" s="13"/>
      <c r="AE22" s="13"/>
      <c r="AF22" s="19"/>
      <c r="AG22" s="19"/>
      <c r="AH22" s="20"/>
    </row>
    <row r="23" spans="1:34" x14ac:dyDescent="0.4">
      <c r="A23" s="3"/>
      <c r="C23" s="2">
        <v>12</v>
      </c>
      <c r="D23" s="2"/>
      <c r="E23" s="35"/>
      <c r="F23" s="5"/>
      <c r="G23" s="29" t="s">
        <v>61</v>
      </c>
      <c r="H23" s="29" t="s">
        <v>61</v>
      </c>
      <c r="I23" s="5"/>
      <c r="J23" s="5"/>
      <c r="K23" s="29" t="s">
        <v>61</v>
      </c>
      <c r="L23" s="17"/>
      <c r="M23" s="6">
        <v>75</v>
      </c>
      <c r="N23" s="13"/>
      <c r="O23" s="13">
        <v>12</v>
      </c>
      <c r="P23" s="13"/>
      <c r="Q23" s="5"/>
      <c r="R23" s="5"/>
      <c r="S23" s="29" t="s">
        <v>61</v>
      </c>
      <c r="T23" s="29" t="s">
        <v>61</v>
      </c>
      <c r="U23" s="5"/>
      <c r="V23" s="5"/>
      <c r="W23" s="29" t="s">
        <v>61</v>
      </c>
      <c r="X23" s="13"/>
      <c r="Y23" s="17"/>
      <c r="Z23" s="5">
        <v>5.7</v>
      </c>
      <c r="AA23" s="5">
        <v>7.8</v>
      </c>
      <c r="AB23" s="5">
        <v>5.6</v>
      </c>
      <c r="AC23" s="5">
        <v>5.78</v>
      </c>
      <c r="AD23" s="13"/>
      <c r="AE23" s="13"/>
      <c r="AF23" s="19"/>
      <c r="AG23" s="19"/>
      <c r="AH23" s="20"/>
    </row>
    <row r="24" spans="1:34" x14ac:dyDescent="0.4">
      <c r="A24" s="8"/>
      <c r="B24" s="8"/>
      <c r="C24" s="9"/>
      <c r="D24" s="9"/>
      <c r="E24" s="18"/>
      <c r="F24" s="18"/>
      <c r="G24" s="38"/>
      <c r="H24" s="37"/>
      <c r="I24" s="22"/>
      <c r="J24" s="22"/>
      <c r="K24" s="37"/>
      <c r="L24" s="18"/>
      <c r="M24" s="14"/>
      <c r="N24" s="14"/>
      <c r="O24" s="14"/>
      <c r="P24" s="14"/>
      <c r="Q24" s="18"/>
      <c r="R24" s="22"/>
      <c r="S24" s="22"/>
      <c r="T24" s="22"/>
      <c r="U24" s="22"/>
      <c r="V24" s="22"/>
      <c r="W24" s="22"/>
      <c r="X24" s="14"/>
      <c r="Y24" s="31"/>
      <c r="Z24" s="31"/>
      <c r="AA24" s="31"/>
      <c r="AB24" s="31"/>
      <c r="AC24" s="31"/>
      <c r="AD24" s="14"/>
      <c r="AE24" s="14"/>
      <c r="AF24" s="14"/>
      <c r="AG24" s="14"/>
      <c r="AH24" s="14"/>
    </row>
    <row r="25" spans="1:34" x14ac:dyDescent="0.4">
      <c r="A25" s="3" t="s">
        <v>149</v>
      </c>
      <c r="B25" s="1" t="s">
        <v>133</v>
      </c>
      <c r="C25" s="4">
        <v>-28</v>
      </c>
      <c r="D25" s="2"/>
      <c r="E25" s="5"/>
      <c r="F25" s="5"/>
      <c r="G25" s="5"/>
      <c r="H25" s="5"/>
      <c r="I25" s="5"/>
      <c r="J25" s="5"/>
      <c r="K25" s="5"/>
      <c r="L25" s="17"/>
      <c r="M25" s="6">
        <v>55</v>
      </c>
      <c r="N25" s="13"/>
      <c r="O25" s="4">
        <v>-28</v>
      </c>
      <c r="P25" s="13"/>
      <c r="Q25" s="5"/>
      <c r="R25" s="5"/>
      <c r="S25" s="5"/>
      <c r="T25" s="5"/>
      <c r="U25" s="5"/>
      <c r="V25" s="5"/>
      <c r="W25" s="5"/>
      <c r="X25" s="4">
        <v>3</v>
      </c>
      <c r="Y25" s="17"/>
      <c r="Z25" s="5"/>
      <c r="AA25" s="5"/>
      <c r="AB25" s="5"/>
      <c r="AC25" s="5"/>
      <c r="AD25" s="13"/>
      <c r="AE25" s="13" t="s">
        <v>37</v>
      </c>
      <c r="AF25" s="7">
        <v>12</v>
      </c>
      <c r="AG25" s="7">
        <v>4.21</v>
      </c>
      <c r="AH25" s="7">
        <f>AF25/AG25</f>
        <v>2.8503562945368173</v>
      </c>
    </row>
    <row r="26" spans="1:34" x14ac:dyDescent="0.4">
      <c r="A26" s="3"/>
      <c r="C26" s="13">
        <v>-25</v>
      </c>
      <c r="D26" s="2"/>
      <c r="E26" s="5"/>
      <c r="F26" s="5"/>
      <c r="G26" s="5">
        <v>10.5</v>
      </c>
      <c r="H26" s="5">
        <v>5.55</v>
      </c>
      <c r="I26" s="5"/>
      <c r="J26" s="5"/>
      <c r="K26" s="5">
        <v>1.8918918918918919</v>
      </c>
      <c r="L26" s="17"/>
      <c r="M26" s="6">
        <v>55</v>
      </c>
      <c r="N26" s="13"/>
      <c r="O26" s="13">
        <v>-25</v>
      </c>
      <c r="P26" s="13"/>
      <c r="Q26" s="5"/>
      <c r="R26" s="5"/>
      <c r="S26" s="5">
        <v>9.6999999999999993</v>
      </c>
      <c r="T26" s="5">
        <v>7.4</v>
      </c>
      <c r="U26" s="5"/>
      <c r="V26" s="5"/>
      <c r="W26" s="5">
        <v>1.3108108108108107</v>
      </c>
      <c r="X26" s="19"/>
      <c r="Y26" s="17"/>
      <c r="Z26" s="5"/>
      <c r="AA26" s="5"/>
      <c r="AB26" s="5"/>
      <c r="AC26" s="5"/>
      <c r="AD26" s="13"/>
      <c r="AE26" s="13"/>
      <c r="AF26" s="7"/>
      <c r="AG26" s="7"/>
      <c r="AH26" s="7"/>
    </row>
    <row r="27" spans="1:34" x14ac:dyDescent="0.4">
      <c r="A27" s="46"/>
      <c r="C27" s="13">
        <v>-20</v>
      </c>
      <c r="D27" s="2"/>
      <c r="E27" s="5"/>
      <c r="F27" s="5"/>
      <c r="G27" s="5">
        <v>11.2</v>
      </c>
      <c r="H27" s="5">
        <v>4.75</v>
      </c>
      <c r="I27" s="5"/>
      <c r="J27" s="5"/>
      <c r="K27" s="5">
        <v>2.357894736842105</v>
      </c>
      <c r="L27" s="17"/>
      <c r="M27" s="6">
        <v>65</v>
      </c>
      <c r="N27" s="13"/>
      <c r="O27" s="13">
        <v>-20</v>
      </c>
      <c r="P27" s="13"/>
      <c r="Q27" s="5"/>
      <c r="R27" s="5"/>
      <c r="S27" s="5">
        <v>10.8</v>
      </c>
      <c r="T27" s="5">
        <v>6.45</v>
      </c>
      <c r="U27" s="5"/>
      <c r="V27" s="5"/>
      <c r="W27" s="5">
        <v>1.6744186046511629</v>
      </c>
      <c r="X27" s="19"/>
      <c r="Y27" s="17"/>
      <c r="Z27" s="5"/>
      <c r="AA27" s="5"/>
      <c r="AB27" s="5"/>
      <c r="AC27" s="5"/>
      <c r="AD27" s="13"/>
      <c r="AE27" s="13" t="s">
        <v>38</v>
      </c>
      <c r="AF27" s="7">
        <v>13.2</v>
      </c>
      <c r="AG27" s="7">
        <v>3.25</v>
      </c>
      <c r="AH27" s="7">
        <f>AF27/AG27</f>
        <v>4.0615384615384613</v>
      </c>
    </row>
    <row r="28" spans="1:34" x14ac:dyDescent="0.4">
      <c r="A28" s="3"/>
      <c r="C28" s="2">
        <v>-15</v>
      </c>
      <c r="D28" s="2"/>
      <c r="E28" s="5"/>
      <c r="F28" s="5"/>
      <c r="G28" s="5">
        <v>12</v>
      </c>
      <c r="H28" s="5">
        <v>4.5599999999999996</v>
      </c>
      <c r="I28" s="5"/>
      <c r="J28" s="5"/>
      <c r="K28" s="5">
        <v>2.6315789473684212</v>
      </c>
      <c r="L28" s="17"/>
      <c r="M28" s="6">
        <v>75</v>
      </c>
      <c r="N28" s="13"/>
      <c r="O28" s="13">
        <v>-15</v>
      </c>
      <c r="P28" s="13"/>
      <c r="Q28" s="5"/>
      <c r="R28" s="5"/>
      <c r="S28" s="5">
        <v>12</v>
      </c>
      <c r="T28" s="5">
        <v>6</v>
      </c>
      <c r="U28" s="5"/>
      <c r="V28" s="5"/>
      <c r="W28" s="5">
        <v>2</v>
      </c>
      <c r="X28" s="19"/>
      <c r="Y28" s="17"/>
      <c r="Z28" s="5"/>
      <c r="AA28" s="5"/>
      <c r="AB28" s="5"/>
      <c r="AC28" s="5"/>
      <c r="AD28" s="13"/>
      <c r="AE28" s="13" t="s">
        <v>40</v>
      </c>
      <c r="AF28" s="7">
        <v>12</v>
      </c>
      <c r="AG28" s="7">
        <v>2.8</v>
      </c>
      <c r="AH28" s="7">
        <f>AF28/AG28</f>
        <v>4.2857142857142856</v>
      </c>
    </row>
    <row r="29" spans="1:34" x14ac:dyDescent="0.4">
      <c r="A29" s="3"/>
      <c r="C29" s="2">
        <v>-10</v>
      </c>
      <c r="D29" s="2"/>
      <c r="E29" s="5"/>
      <c r="F29" s="5"/>
      <c r="G29" s="29" t="s">
        <v>61</v>
      </c>
      <c r="H29" s="29" t="s">
        <v>61</v>
      </c>
      <c r="I29" s="5"/>
      <c r="J29" s="5"/>
      <c r="K29" s="29" t="s">
        <v>61</v>
      </c>
      <c r="L29" s="17"/>
      <c r="M29" s="6">
        <v>75</v>
      </c>
      <c r="N29" s="13"/>
      <c r="O29" s="13">
        <v>-10</v>
      </c>
      <c r="P29" s="13"/>
      <c r="Q29" s="5"/>
      <c r="R29" s="5"/>
      <c r="S29" s="29" t="s">
        <v>61</v>
      </c>
      <c r="T29" s="29" t="s">
        <v>61</v>
      </c>
      <c r="U29" s="5"/>
      <c r="V29" s="5"/>
      <c r="W29" s="29" t="s">
        <v>61</v>
      </c>
      <c r="X29" s="19"/>
      <c r="Y29" s="17" t="s">
        <v>39</v>
      </c>
      <c r="Z29" s="5">
        <v>12</v>
      </c>
      <c r="AA29" s="5">
        <v>2.91</v>
      </c>
      <c r="AB29" s="5">
        <v>12</v>
      </c>
      <c r="AC29" s="5">
        <v>2.12</v>
      </c>
      <c r="AD29" s="13"/>
    </row>
    <row r="30" spans="1:34" x14ac:dyDescent="0.4">
      <c r="A30" s="3"/>
      <c r="C30" s="2">
        <v>-7</v>
      </c>
      <c r="D30" s="2"/>
      <c r="E30" s="5"/>
      <c r="F30" s="5"/>
      <c r="G30" s="5">
        <v>12</v>
      </c>
      <c r="H30" s="5">
        <v>4</v>
      </c>
      <c r="I30" s="5"/>
      <c r="J30" s="5"/>
      <c r="K30" s="5">
        <v>3</v>
      </c>
      <c r="L30" s="17"/>
      <c r="M30" s="6">
        <v>75</v>
      </c>
      <c r="N30" s="13"/>
      <c r="O30" s="13">
        <v>-7</v>
      </c>
      <c r="P30" s="13"/>
      <c r="Q30" s="5"/>
      <c r="R30" s="5"/>
      <c r="S30" s="5">
        <v>12</v>
      </c>
      <c r="T30" s="5">
        <v>5.53</v>
      </c>
      <c r="U30" s="5"/>
      <c r="V30" s="5"/>
      <c r="W30" s="5">
        <v>2.1699819168173597</v>
      </c>
      <c r="X30" s="19"/>
      <c r="Y30" s="5">
        <f>AA30*(1.029-(0.05*Z30/G32))</f>
        <v>2.7476849999999997</v>
      </c>
      <c r="Z30" s="5">
        <v>10.6</v>
      </c>
      <c r="AA30" s="5">
        <v>2.79</v>
      </c>
      <c r="AB30" s="5">
        <v>10.6</v>
      </c>
      <c r="AC30" s="5">
        <v>2.2200000000000002</v>
      </c>
      <c r="AD30" s="13"/>
      <c r="AE30" s="13"/>
      <c r="AF30" s="19"/>
      <c r="AG30" s="19"/>
      <c r="AH30" s="20"/>
    </row>
    <row r="31" spans="1:34" x14ac:dyDescent="0.4">
      <c r="A31" s="3"/>
      <c r="C31" s="2">
        <v>2</v>
      </c>
      <c r="D31" s="2"/>
      <c r="E31" s="5"/>
      <c r="F31" s="5"/>
      <c r="G31" s="5">
        <v>12</v>
      </c>
      <c r="H31" s="5">
        <v>3.39</v>
      </c>
      <c r="I31" s="5"/>
      <c r="J31" s="5"/>
      <c r="K31" s="5">
        <v>3.5398230088495577</v>
      </c>
      <c r="L31" s="17"/>
      <c r="M31" s="6">
        <v>75</v>
      </c>
      <c r="N31" s="13"/>
      <c r="O31" s="13">
        <v>2</v>
      </c>
      <c r="P31" s="13"/>
      <c r="Q31" s="5"/>
      <c r="R31" s="5"/>
      <c r="S31" s="5">
        <v>12</v>
      </c>
      <c r="T31" s="5">
        <v>4.95</v>
      </c>
      <c r="U31" s="5"/>
      <c r="V31" s="5"/>
      <c r="W31" s="5">
        <v>2.4242424242424243</v>
      </c>
      <c r="X31" s="19"/>
      <c r="Y31" s="5">
        <f>AA31*(0.906-(0.044*Z31/G32))</f>
        <v>4.1020750000000001</v>
      </c>
      <c r="Z31" s="5">
        <v>6.5</v>
      </c>
      <c r="AA31" s="5">
        <v>4.6500000000000004</v>
      </c>
      <c r="AB31" s="5">
        <v>6.5</v>
      </c>
      <c r="AC31" s="5">
        <v>3.65</v>
      </c>
      <c r="AD31" s="13"/>
      <c r="AE31" s="13"/>
      <c r="AF31" s="19"/>
      <c r="AG31" s="19"/>
      <c r="AH31" s="20"/>
    </row>
    <row r="32" spans="1:34" x14ac:dyDescent="0.4">
      <c r="A32" s="3"/>
      <c r="C32" s="2">
        <v>7</v>
      </c>
      <c r="D32" s="2"/>
      <c r="E32" s="5"/>
      <c r="F32" s="5"/>
      <c r="G32" s="5">
        <v>12</v>
      </c>
      <c r="H32" s="5">
        <v>2.37</v>
      </c>
      <c r="I32" s="5"/>
      <c r="J32" s="5"/>
      <c r="K32" s="5">
        <v>5.0632911392405067</v>
      </c>
      <c r="L32" s="17"/>
      <c r="M32" s="6">
        <v>75</v>
      </c>
      <c r="N32" s="13"/>
      <c r="O32" s="13">
        <v>7</v>
      </c>
      <c r="P32" s="13"/>
      <c r="Q32" s="5"/>
      <c r="R32" s="5"/>
      <c r="S32" s="5">
        <v>12</v>
      </c>
      <c r="T32" s="5">
        <v>3.71</v>
      </c>
      <c r="U32" s="5"/>
      <c r="V32" s="5"/>
      <c r="W32" s="5">
        <v>3.2345013477088949</v>
      </c>
      <c r="X32" s="19"/>
      <c r="Y32" s="5">
        <f>K32</f>
        <v>5.0632911392405067</v>
      </c>
      <c r="Z32" s="5">
        <v>5.3</v>
      </c>
      <c r="AA32" s="5">
        <v>6.25</v>
      </c>
      <c r="AB32" s="5">
        <v>4.9000000000000004</v>
      </c>
      <c r="AC32" s="5">
        <v>4.57</v>
      </c>
      <c r="AD32" s="13"/>
      <c r="AE32" s="13"/>
      <c r="AF32" s="19"/>
      <c r="AG32" s="19"/>
      <c r="AH32" s="20"/>
    </row>
    <row r="33" spans="1:34" x14ac:dyDescent="0.4">
      <c r="A33" s="3"/>
      <c r="C33" s="2">
        <v>12</v>
      </c>
      <c r="D33" s="2"/>
      <c r="E33" s="5"/>
      <c r="F33" s="5"/>
      <c r="G33" s="29" t="s">
        <v>61</v>
      </c>
      <c r="H33" s="29" t="s">
        <v>61</v>
      </c>
      <c r="I33" s="5"/>
      <c r="J33" s="5"/>
      <c r="K33" s="29" t="s">
        <v>61</v>
      </c>
      <c r="L33" s="17"/>
      <c r="M33" s="6">
        <v>75</v>
      </c>
      <c r="N33" s="13"/>
      <c r="O33" s="13">
        <v>12</v>
      </c>
      <c r="P33" s="13"/>
      <c r="Q33" s="5"/>
      <c r="R33" s="5"/>
      <c r="S33" s="29" t="s">
        <v>61</v>
      </c>
      <c r="T33" s="29" t="s">
        <v>61</v>
      </c>
      <c r="U33" s="5"/>
      <c r="V33" s="5"/>
      <c r="W33" s="29" t="s">
        <v>61</v>
      </c>
      <c r="X33" s="19"/>
      <c r="Y33" s="17"/>
      <c r="Z33" s="5">
        <v>6.1</v>
      </c>
      <c r="AA33" s="5">
        <v>7.78</v>
      </c>
      <c r="AB33" s="5">
        <v>5.7</v>
      </c>
      <c r="AC33" s="5">
        <v>5.84</v>
      </c>
      <c r="AD33" s="13"/>
      <c r="AE33" s="13"/>
      <c r="AF33" s="19"/>
      <c r="AG33" s="19"/>
      <c r="AH33" s="20"/>
    </row>
    <row r="34" spans="1:34" x14ac:dyDescent="0.4">
      <c r="A34" s="8"/>
      <c r="B34" s="8"/>
      <c r="C34" s="9"/>
      <c r="D34" s="9"/>
      <c r="E34" s="18"/>
      <c r="F34" s="18"/>
      <c r="G34" s="38"/>
      <c r="H34" s="37"/>
      <c r="I34" s="22"/>
      <c r="J34" s="22"/>
      <c r="K34" s="37"/>
      <c r="L34" s="18"/>
      <c r="M34" s="14"/>
      <c r="N34" s="14"/>
      <c r="O34" s="14"/>
      <c r="P34" s="14"/>
      <c r="Q34" s="18"/>
      <c r="R34" s="22"/>
      <c r="S34" s="22"/>
      <c r="T34" s="22"/>
      <c r="U34" s="22"/>
      <c r="V34" s="22"/>
      <c r="W34" s="22"/>
      <c r="X34" s="14"/>
      <c r="Y34" s="22"/>
      <c r="Z34" s="22"/>
      <c r="AA34" s="22"/>
      <c r="AB34" s="22"/>
      <c r="AC34" s="22"/>
      <c r="AD34" s="14"/>
      <c r="AE34" s="14"/>
      <c r="AF34" s="14"/>
      <c r="AG34" s="14"/>
      <c r="AH34" s="14"/>
    </row>
    <row r="35" spans="1:34" x14ac:dyDescent="0.4">
      <c r="A35" s="3" t="s">
        <v>150</v>
      </c>
      <c r="B35" s="1" t="s">
        <v>133</v>
      </c>
      <c r="C35" s="4">
        <v>-28</v>
      </c>
      <c r="D35" s="2"/>
      <c r="E35" s="5"/>
      <c r="F35" s="5"/>
      <c r="G35" s="5"/>
      <c r="H35" s="5"/>
      <c r="I35" s="5"/>
      <c r="J35" s="5"/>
      <c r="K35" s="5"/>
      <c r="L35" s="17"/>
      <c r="M35" s="6">
        <v>55</v>
      </c>
      <c r="N35" s="13"/>
      <c r="O35" s="4">
        <v>-28</v>
      </c>
      <c r="P35" s="13"/>
      <c r="Q35" s="5"/>
      <c r="R35" s="5"/>
      <c r="S35" s="5"/>
      <c r="T35" s="5"/>
      <c r="U35" s="5"/>
      <c r="V35" s="5"/>
      <c r="W35" s="5"/>
      <c r="X35" s="4">
        <v>3</v>
      </c>
      <c r="Y35" s="17"/>
      <c r="Z35" s="5"/>
      <c r="AA35" s="5"/>
      <c r="AB35" s="5"/>
      <c r="AC35" s="5"/>
      <c r="AD35" s="13"/>
      <c r="AE35" s="13" t="s">
        <v>37</v>
      </c>
      <c r="AF35" s="7">
        <v>12</v>
      </c>
      <c r="AG35" s="7">
        <v>4.21</v>
      </c>
      <c r="AH35" s="7">
        <f>AF35/AG35</f>
        <v>2.8503562945368173</v>
      </c>
    </row>
    <row r="36" spans="1:34" x14ac:dyDescent="0.4">
      <c r="A36" s="3"/>
      <c r="C36" s="13">
        <v>-25</v>
      </c>
      <c r="D36" s="2"/>
      <c r="E36" s="5"/>
      <c r="F36" s="5"/>
      <c r="G36" s="5">
        <v>10.5</v>
      </c>
      <c r="H36" s="5">
        <v>5.55</v>
      </c>
      <c r="I36" s="5"/>
      <c r="J36" s="5"/>
      <c r="K36" s="5">
        <v>1.8918918918918919</v>
      </c>
      <c r="L36" s="17"/>
      <c r="M36" s="6">
        <v>55</v>
      </c>
      <c r="N36" s="13"/>
      <c r="O36" s="13">
        <v>-25</v>
      </c>
      <c r="P36" s="13"/>
      <c r="Q36" s="5"/>
      <c r="R36" s="5"/>
      <c r="S36" s="5">
        <v>9.6999999999999993</v>
      </c>
      <c r="T36" s="5">
        <v>7.4</v>
      </c>
      <c r="U36" s="5"/>
      <c r="V36" s="5"/>
      <c r="W36" s="5">
        <v>1.3108108108108107</v>
      </c>
      <c r="X36" s="19"/>
      <c r="Y36" s="17"/>
      <c r="Z36" s="5"/>
      <c r="AA36" s="5"/>
      <c r="AB36" s="5"/>
      <c r="AC36" s="5"/>
      <c r="AD36" s="13"/>
      <c r="AE36" s="13"/>
      <c r="AF36" s="7"/>
      <c r="AG36" s="7"/>
      <c r="AH36" s="7"/>
    </row>
    <row r="37" spans="1:34" x14ac:dyDescent="0.4">
      <c r="A37" s="46"/>
      <c r="C37" s="13">
        <v>-20</v>
      </c>
      <c r="D37" s="2"/>
      <c r="E37" s="5"/>
      <c r="F37" s="5"/>
      <c r="G37" s="5">
        <v>11.2</v>
      </c>
      <c r="H37" s="5">
        <v>4.75</v>
      </c>
      <c r="I37" s="5"/>
      <c r="J37" s="5"/>
      <c r="K37" s="5">
        <v>2.357894736842105</v>
      </c>
      <c r="L37" s="17"/>
      <c r="M37" s="6">
        <v>65</v>
      </c>
      <c r="N37" s="13"/>
      <c r="O37" s="13">
        <v>-20</v>
      </c>
      <c r="P37" s="13"/>
      <c r="Q37" s="5"/>
      <c r="R37" s="5"/>
      <c r="S37" s="5">
        <v>10.8</v>
      </c>
      <c r="T37" s="5">
        <v>6.45</v>
      </c>
      <c r="U37" s="5"/>
      <c r="V37" s="5"/>
      <c r="W37" s="5">
        <v>1.6744186046511629</v>
      </c>
      <c r="X37" s="19"/>
      <c r="Y37" s="17"/>
      <c r="Z37" s="5"/>
      <c r="AA37" s="5"/>
      <c r="AB37" s="5"/>
      <c r="AC37" s="5"/>
      <c r="AD37" s="13"/>
      <c r="AE37" s="13" t="s">
        <v>38</v>
      </c>
      <c r="AF37" s="7">
        <v>13.2</v>
      </c>
      <c r="AG37" s="7">
        <v>3.25</v>
      </c>
      <c r="AH37" s="7">
        <f>AF37/AG37</f>
        <v>4.0615384615384613</v>
      </c>
    </row>
    <row r="38" spans="1:34" x14ac:dyDescent="0.4">
      <c r="A38" s="3"/>
      <c r="C38" s="2">
        <v>-15</v>
      </c>
      <c r="D38" s="2"/>
      <c r="E38" s="5"/>
      <c r="F38" s="5"/>
      <c r="G38" s="5">
        <v>12</v>
      </c>
      <c r="H38" s="5">
        <v>4.5599999999999996</v>
      </c>
      <c r="I38" s="5"/>
      <c r="J38" s="5"/>
      <c r="K38" s="5">
        <v>2.6315789473684212</v>
      </c>
      <c r="L38" s="17"/>
      <c r="M38" s="6">
        <v>75</v>
      </c>
      <c r="N38" s="13"/>
      <c r="O38" s="13">
        <v>-15</v>
      </c>
      <c r="P38" s="13"/>
      <c r="Q38" s="5"/>
      <c r="R38" s="5"/>
      <c r="S38" s="5">
        <v>12</v>
      </c>
      <c r="T38" s="5">
        <v>6</v>
      </c>
      <c r="U38" s="5"/>
      <c r="V38" s="5"/>
      <c r="W38" s="5">
        <v>2</v>
      </c>
      <c r="X38" s="19"/>
      <c r="Y38" s="17"/>
      <c r="Z38" s="5"/>
      <c r="AA38" s="5"/>
      <c r="AB38" s="5"/>
      <c r="AC38" s="5"/>
      <c r="AD38" s="13"/>
      <c r="AE38" s="13" t="s">
        <v>40</v>
      </c>
      <c r="AF38" s="7">
        <v>12</v>
      </c>
      <c r="AG38" s="7">
        <v>2.8</v>
      </c>
      <c r="AH38" s="7">
        <f>AF38/AG38</f>
        <v>4.2857142857142856</v>
      </c>
    </row>
    <row r="39" spans="1:34" x14ac:dyDescent="0.4">
      <c r="A39" s="3"/>
      <c r="C39" s="2">
        <v>-10</v>
      </c>
      <c r="D39" s="2"/>
      <c r="E39" s="5"/>
      <c r="F39" s="5"/>
      <c r="G39" s="29" t="s">
        <v>61</v>
      </c>
      <c r="H39" s="29" t="s">
        <v>61</v>
      </c>
      <c r="I39" s="5"/>
      <c r="J39" s="5"/>
      <c r="K39" s="29" t="s">
        <v>61</v>
      </c>
      <c r="L39" s="17"/>
      <c r="M39" s="6">
        <v>75</v>
      </c>
      <c r="N39" s="13"/>
      <c r="O39" s="13">
        <v>-10</v>
      </c>
      <c r="P39" s="13"/>
      <c r="Q39" s="5"/>
      <c r="R39" s="5"/>
      <c r="S39" s="29" t="s">
        <v>61</v>
      </c>
      <c r="T39" s="29" t="s">
        <v>61</v>
      </c>
      <c r="U39" s="5"/>
      <c r="V39" s="5"/>
      <c r="W39" s="29" t="s">
        <v>61</v>
      </c>
      <c r="X39" s="19"/>
      <c r="Y39" s="17" t="s">
        <v>39</v>
      </c>
      <c r="Z39" s="5">
        <v>12</v>
      </c>
      <c r="AA39" s="5">
        <v>2.91</v>
      </c>
      <c r="AB39" s="5">
        <v>12</v>
      </c>
      <c r="AC39" s="5">
        <v>2.12</v>
      </c>
      <c r="AD39" s="13"/>
    </row>
    <row r="40" spans="1:34" x14ac:dyDescent="0.4">
      <c r="A40" s="3"/>
      <c r="C40" s="2">
        <v>-7</v>
      </c>
      <c r="D40" s="2"/>
      <c r="E40" s="5"/>
      <c r="F40" s="5"/>
      <c r="G40" s="5">
        <v>12</v>
      </c>
      <c r="H40" s="5">
        <v>4</v>
      </c>
      <c r="I40" s="5"/>
      <c r="J40" s="5"/>
      <c r="K40" s="5">
        <v>3</v>
      </c>
      <c r="L40" s="17"/>
      <c r="M40" s="6">
        <v>75</v>
      </c>
      <c r="N40" s="13"/>
      <c r="O40" s="13">
        <v>-7</v>
      </c>
      <c r="P40" s="13"/>
      <c r="Q40" s="5"/>
      <c r="R40" s="5"/>
      <c r="S40" s="5">
        <v>12</v>
      </c>
      <c r="T40" s="5">
        <v>5.53</v>
      </c>
      <c r="U40" s="5"/>
      <c r="V40" s="5"/>
      <c r="W40" s="5">
        <v>2.1699819168173597</v>
      </c>
      <c r="X40" s="19"/>
      <c r="Y40" s="5">
        <f>AA40*(1.029-(0.05*Z40/G42))</f>
        <v>2.7476849999999997</v>
      </c>
      <c r="Z40" s="5">
        <v>10.6</v>
      </c>
      <c r="AA40" s="5">
        <v>2.79</v>
      </c>
      <c r="AB40" s="5">
        <v>10.6</v>
      </c>
      <c r="AC40" s="5">
        <v>2.2200000000000002</v>
      </c>
      <c r="AD40" s="13"/>
      <c r="AE40" s="13"/>
      <c r="AF40" s="19"/>
      <c r="AG40" s="19"/>
      <c r="AH40" s="20"/>
    </row>
    <row r="41" spans="1:34" x14ac:dyDescent="0.4">
      <c r="A41" s="3"/>
      <c r="C41" s="2">
        <v>2</v>
      </c>
      <c r="D41" s="2"/>
      <c r="E41" s="5"/>
      <c r="F41" s="5"/>
      <c r="G41" s="5">
        <v>12</v>
      </c>
      <c r="H41" s="5">
        <v>3.39</v>
      </c>
      <c r="I41" s="5"/>
      <c r="J41" s="5"/>
      <c r="K41" s="5">
        <v>3.5398230088495577</v>
      </c>
      <c r="L41" s="17"/>
      <c r="M41" s="6">
        <v>75</v>
      </c>
      <c r="N41" s="13"/>
      <c r="O41" s="13">
        <v>2</v>
      </c>
      <c r="P41" s="13"/>
      <c r="Q41" s="5"/>
      <c r="R41" s="5"/>
      <c r="S41" s="5">
        <v>12</v>
      </c>
      <c r="T41" s="5">
        <v>4.95</v>
      </c>
      <c r="U41" s="5"/>
      <c r="V41" s="5"/>
      <c r="W41" s="5">
        <v>2.4242424242424243</v>
      </c>
      <c r="X41" s="19"/>
      <c r="Y41" s="5">
        <f>AA41*(0.906-(0.044*Z41/G42))</f>
        <v>4.1020750000000001</v>
      </c>
      <c r="Z41" s="5">
        <v>6.5</v>
      </c>
      <c r="AA41" s="5">
        <v>4.6500000000000004</v>
      </c>
      <c r="AB41" s="5">
        <v>6.5</v>
      </c>
      <c r="AC41" s="5">
        <v>3.65</v>
      </c>
      <c r="AD41" s="13"/>
      <c r="AE41" s="13"/>
      <c r="AF41" s="19"/>
      <c r="AG41" s="19"/>
      <c r="AH41" s="20"/>
    </row>
    <row r="42" spans="1:34" x14ac:dyDescent="0.4">
      <c r="A42" s="3"/>
      <c r="C42" s="2">
        <v>7</v>
      </c>
      <c r="D42" s="2"/>
      <c r="E42" s="5"/>
      <c r="F42" s="5"/>
      <c r="G42" s="5">
        <v>12</v>
      </c>
      <c r="H42" s="5">
        <v>2.37</v>
      </c>
      <c r="I42" s="5"/>
      <c r="J42" s="5"/>
      <c r="K42" s="5">
        <v>5.0632911392405067</v>
      </c>
      <c r="L42" s="17"/>
      <c r="M42" s="6">
        <v>75</v>
      </c>
      <c r="N42" s="13"/>
      <c r="O42" s="13">
        <v>7</v>
      </c>
      <c r="P42" s="13"/>
      <c r="Q42" s="5"/>
      <c r="R42" s="5"/>
      <c r="S42" s="5">
        <v>12</v>
      </c>
      <c r="T42" s="5">
        <v>3.71</v>
      </c>
      <c r="U42" s="5"/>
      <c r="V42" s="5"/>
      <c r="W42" s="5">
        <v>3.2345013477088949</v>
      </c>
      <c r="X42" s="19"/>
      <c r="Y42" s="5">
        <f>K42</f>
        <v>5.0632911392405067</v>
      </c>
      <c r="Z42" s="5">
        <v>5.3</v>
      </c>
      <c r="AA42" s="5">
        <v>6.25</v>
      </c>
      <c r="AB42" s="5">
        <v>4.9000000000000004</v>
      </c>
      <c r="AC42" s="5">
        <v>4.57</v>
      </c>
      <c r="AD42" s="13"/>
      <c r="AE42" s="13"/>
      <c r="AF42" s="19"/>
      <c r="AG42" s="19"/>
      <c r="AH42" s="20"/>
    </row>
    <row r="43" spans="1:34" x14ac:dyDescent="0.4">
      <c r="A43" s="3"/>
      <c r="C43" s="2">
        <v>12</v>
      </c>
      <c r="D43" s="2"/>
      <c r="E43" s="5"/>
      <c r="F43" s="5"/>
      <c r="G43" s="29" t="s">
        <v>61</v>
      </c>
      <c r="H43" s="29" t="s">
        <v>61</v>
      </c>
      <c r="I43" s="5"/>
      <c r="J43" s="5"/>
      <c r="K43" s="29" t="s">
        <v>61</v>
      </c>
      <c r="L43" s="17"/>
      <c r="M43" s="6">
        <v>75</v>
      </c>
      <c r="N43" s="13"/>
      <c r="O43" s="13">
        <v>12</v>
      </c>
      <c r="P43" s="13"/>
      <c r="Q43" s="5"/>
      <c r="R43" s="5"/>
      <c r="S43" s="29" t="s">
        <v>61</v>
      </c>
      <c r="T43" s="29" t="s">
        <v>61</v>
      </c>
      <c r="U43" s="5"/>
      <c r="V43" s="5"/>
      <c r="W43" s="29" t="s">
        <v>61</v>
      </c>
      <c r="X43" s="19"/>
      <c r="Y43" s="17"/>
      <c r="Z43" s="5">
        <v>6.1</v>
      </c>
      <c r="AA43" s="5">
        <v>7.78</v>
      </c>
      <c r="AB43" s="5">
        <v>5.7</v>
      </c>
      <c r="AC43" s="5">
        <v>5.84</v>
      </c>
      <c r="AD43" s="13"/>
      <c r="AE43" s="13"/>
      <c r="AF43" s="19"/>
      <c r="AG43" s="19"/>
      <c r="AH43" s="20"/>
    </row>
    <row r="44" spans="1:34" x14ac:dyDescent="0.4">
      <c r="A44" s="8"/>
      <c r="B44" s="8"/>
      <c r="C44" s="9"/>
      <c r="D44" s="9"/>
      <c r="E44" s="18"/>
      <c r="F44" s="18"/>
      <c r="G44" s="38"/>
      <c r="H44" s="37"/>
      <c r="I44" s="22"/>
      <c r="J44" s="22"/>
      <c r="K44" s="37"/>
      <c r="L44" s="18"/>
      <c r="M44" s="14"/>
      <c r="N44" s="14"/>
      <c r="O44" s="14"/>
      <c r="P44" s="14"/>
      <c r="Q44" s="18"/>
      <c r="R44" s="22"/>
      <c r="S44" s="22"/>
      <c r="T44" s="22"/>
      <c r="U44" s="22"/>
      <c r="V44" s="22"/>
      <c r="W44" s="22"/>
      <c r="X44" s="14"/>
      <c r="Y44" s="22"/>
      <c r="Z44" s="22"/>
      <c r="AA44" s="22"/>
      <c r="AB44" s="22"/>
      <c r="AC44" s="22"/>
      <c r="AD44" s="14"/>
      <c r="AE44" s="14"/>
      <c r="AF44" s="14"/>
      <c r="AG44" s="14"/>
      <c r="AH44" s="14"/>
    </row>
    <row r="45" spans="1:34" s="1" customFormat="1" x14ac:dyDescent="0.4">
      <c r="A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s="15"/>
      <c r="AG45" s="15"/>
      <c r="AH45" s="15"/>
    </row>
    <row r="46" spans="1:34" x14ac:dyDescent="0.4">
      <c r="A46" s="47" t="s">
        <v>143</v>
      </c>
    </row>
    <row r="48" spans="1:34" x14ac:dyDescent="0.4">
      <c r="A48" s="1" t="s">
        <v>184</v>
      </c>
    </row>
    <row r="49" spans="1:1" x14ac:dyDescent="0.4">
      <c r="A49" s="1" t="s">
        <v>186</v>
      </c>
    </row>
    <row r="51" spans="1:1" x14ac:dyDescent="0.4">
      <c r="A51" s="1" t="s">
        <v>185</v>
      </c>
    </row>
    <row r="52" spans="1:1" x14ac:dyDescent="0.4">
      <c r="A52" s="1" t="s">
        <v>187</v>
      </c>
    </row>
    <row r="55" spans="1:1" x14ac:dyDescent="0.4">
      <c r="A5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9914-6DC0-4064-BBD3-66B9CB444EC6}">
  <sheetPr>
    <tabColor theme="5" tint="0.79998168889431442"/>
  </sheetPr>
  <dimension ref="A1:AK45"/>
  <sheetViews>
    <sheetView zoomScale="70" zoomScaleNormal="70" workbookViewId="0">
      <selection activeCell="V44" sqref="V44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158</v>
      </c>
      <c r="B5" s="1" t="s">
        <v>154</v>
      </c>
      <c r="C5" s="4"/>
      <c r="D5" s="2"/>
      <c r="E5" s="61"/>
      <c r="F5" s="7"/>
      <c r="G5" s="7"/>
      <c r="H5" s="7"/>
      <c r="I5" s="7"/>
      <c r="J5" s="7"/>
      <c r="K5" s="7"/>
      <c r="L5" s="36"/>
      <c r="M5" s="63"/>
      <c r="N5" s="34"/>
      <c r="O5" s="64"/>
      <c r="P5" s="34"/>
      <c r="Q5" s="24"/>
      <c r="R5" s="24"/>
      <c r="S5" s="24"/>
      <c r="T5" s="24"/>
      <c r="U5" s="24"/>
      <c r="V5" s="24"/>
      <c r="W5" s="24"/>
      <c r="X5" s="43">
        <v>6</v>
      </c>
      <c r="Y5" s="36"/>
      <c r="Z5" s="24"/>
      <c r="AA5" s="24"/>
      <c r="AB5" s="24"/>
      <c r="AC5" s="24"/>
      <c r="AD5" s="34"/>
      <c r="AE5" s="2" t="s">
        <v>37</v>
      </c>
      <c r="AF5" s="66">
        <v>12.2</v>
      </c>
      <c r="AG5" s="66">
        <v>4.55</v>
      </c>
      <c r="AH5" s="66">
        <f>AF5/AG5</f>
        <v>2.6813186813186811</v>
      </c>
    </row>
    <row r="6" spans="1:37" x14ac:dyDescent="0.4">
      <c r="A6" s="3"/>
      <c r="C6" s="13">
        <v>-25</v>
      </c>
      <c r="D6" s="2"/>
      <c r="E6" s="61"/>
      <c r="F6" s="7"/>
      <c r="G6" s="69" t="s">
        <v>61</v>
      </c>
      <c r="H6" s="69" t="s">
        <v>61</v>
      </c>
      <c r="I6" s="7"/>
      <c r="J6" s="7"/>
      <c r="K6" s="68" t="s">
        <v>61</v>
      </c>
      <c r="L6" s="36"/>
      <c r="M6" s="6">
        <v>55</v>
      </c>
      <c r="N6" s="34"/>
      <c r="O6" s="2">
        <v>-25</v>
      </c>
      <c r="P6" s="34"/>
      <c r="Q6" s="24"/>
      <c r="R6" s="24"/>
      <c r="S6" s="69" t="s">
        <v>61</v>
      </c>
      <c r="T6" s="69" t="s">
        <v>61</v>
      </c>
      <c r="U6" s="7"/>
      <c r="V6" s="7"/>
      <c r="W6" s="68" t="s">
        <v>61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7"/>
      <c r="G7" s="66">
        <v>10.3</v>
      </c>
      <c r="H7" s="66">
        <v>4.55</v>
      </c>
      <c r="I7" s="7"/>
      <c r="J7" s="7"/>
      <c r="K7" s="66">
        <f>G7/H7</f>
        <v>2.2637362637362641</v>
      </c>
      <c r="L7" s="36"/>
      <c r="M7" s="6">
        <v>55</v>
      </c>
      <c r="N7" s="34"/>
      <c r="O7" s="2">
        <v>-20</v>
      </c>
      <c r="P7" s="34"/>
      <c r="Q7" s="24"/>
      <c r="R7" s="24"/>
      <c r="S7" s="66">
        <v>7.9</v>
      </c>
      <c r="T7" s="66">
        <v>5.35</v>
      </c>
      <c r="U7" s="7"/>
      <c r="V7" s="7"/>
      <c r="W7" s="66">
        <f t="shared" ref="W7:W8" si="0">S7/T7</f>
        <v>1.4766355140186918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14.4</v>
      </c>
      <c r="AG7" s="66">
        <v>4.6900000000000004</v>
      </c>
      <c r="AH7" s="66">
        <f>AF7/AG7</f>
        <v>3.0703624733475476</v>
      </c>
    </row>
    <row r="8" spans="1:37" x14ac:dyDescent="0.4">
      <c r="A8" s="3"/>
      <c r="C8" s="2">
        <v>-15</v>
      </c>
      <c r="D8" s="2"/>
      <c r="E8" s="61"/>
      <c r="F8" s="7"/>
      <c r="G8" s="66">
        <v>10.5</v>
      </c>
      <c r="H8" s="66">
        <v>4.47</v>
      </c>
      <c r="I8" s="7"/>
      <c r="J8" s="7"/>
      <c r="K8" s="66">
        <f>G8/H8</f>
        <v>2.348993288590604</v>
      </c>
      <c r="L8" s="36"/>
      <c r="M8" s="6">
        <v>55</v>
      </c>
      <c r="N8" s="34"/>
      <c r="O8" s="2">
        <v>-15</v>
      </c>
      <c r="P8" s="34"/>
      <c r="Q8" s="24"/>
      <c r="R8" s="24"/>
      <c r="S8" s="66">
        <v>8</v>
      </c>
      <c r="T8" s="66">
        <v>4.91</v>
      </c>
      <c r="U8" s="7"/>
      <c r="V8" s="7"/>
      <c r="W8" s="66">
        <f t="shared" si="0"/>
        <v>1.6293279022403258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13</v>
      </c>
      <c r="AG8" s="66">
        <v>3.42</v>
      </c>
      <c r="AH8" s="66">
        <f>AF8/AG8</f>
        <v>3.801169590643275</v>
      </c>
    </row>
    <row r="9" spans="1:37" x14ac:dyDescent="0.4">
      <c r="A9" s="3"/>
      <c r="C9" s="2">
        <v>-10</v>
      </c>
      <c r="D9" s="2"/>
      <c r="E9" s="61"/>
      <c r="F9" s="7"/>
      <c r="G9" s="69" t="s">
        <v>61</v>
      </c>
      <c r="H9" s="69" t="s">
        <v>61</v>
      </c>
      <c r="I9" s="7"/>
      <c r="J9" s="7"/>
      <c r="K9" s="68" t="s">
        <v>61</v>
      </c>
      <c r="L9" s="36"/>
      <c r="M9" s="6">
        <v>60</v>
      </c>
      <c r="N9" s="34"/>
      <c r="O9" s="2">
        <v>-10</v>
      </c>
      <c r="P9" s="34"/>
      <c r="Q9" s="24"/>
      <c r="R9" s="24"/>
      <c r="S9" s="69" t="s">
        <v>61</v>
      </c>
      <c r="T9" s="69" t="s">
        <v>61</v>
      </c>
      <c r="U9" s="7"/>
      <c r="V9" s="7"/>
      <c r="W9" s="68" t="s">
        <v>61</v>
      </c>
      <c r="X9" s="34"/>
      <c r="Y9" s="36" t="s">
        <v>39</v>
      </c>
      <c r="Z9" s="66">
        <v>10.1</v>
      </c>
      <c r="AA9" s="66">
        <v>2.87</v>
      </c>
      <c r="AB9" s="66">
        <v>10</v>
      </c>
      <c r="AC9" s="66">
        <v>1.88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7"/>
      <c r="G10" s="66">
        <v>11.7</v>
      </c>
      <c r="H10" s="66">
        <v>4.4800000000000004</v>
      </c>
      <c r="I10" s="7"/>
      <c r="J10" s="7"/>
      <c r="K10" s="66">
        <f t="shared" ref="K10:K12" si="1">G10/H10</f>
        <v>2.6116071428571423</v>
      </c>
      <c r="L10" s="36"/>
      <c r="M10" s="6">
        <v>60</v>
      </c>
      <c r="N10" s="34"/>
      <c r="O10" s="2">
        <v>-7</v>
      </c>
      <c r="P10" s="34"/>
      <c r="Q10" s="24"/>
      <c r="R10" s="24"/>
      <c r="S10" s="66">
        <v>9.1</v>
      </c>
      <c r="T10" s="66">
        <v>4.92</v>
      </c>
      <c r="U10" s="7"/>
      <c r="V10" s="7"/>
      <c r="W10" s="66">
        <f t="shared" ref="W10:W12" si="2">S10/T10</f>
        <v>1.8495934959349594</v>
      </c>
      <c r="X10" s="34"/>
      <c r="Y10" s="5">
        <f>AA10*(1.029-(0.05*Z10/G12))</f>
        <v>2.6117543749999999</v>
      </c>
      <c r="Z10" s="66">
        <v>11.5</v>
      </c>
      <c r="AA10" s="66">
        <v>2.63</v>
      </c>
      <c r="AB10" s="66">
        <v>9.5</v>
      </c>
      <c r="AC10" s="66">
        <v>2.31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7"/>
      <c r="G11" s="66">
        <v>13</v>
      </c>
      <c r="H11" s="66">
        <v>4.09</v>
      </c>
      <c r="I11" s="7"/>
      <c r="J11" s="7"/>
      <c r="K11" s="66">
        <f t="shared" si="1"/>
        <v>3.1784841075794623</v>
      </c>
      <c r="L11" s="36"/>
      <c r="M11" s="6">
        <v>60</v>
      </c>
      <c r="N11" s="34"/>
      <c r="O11" s="2">
        <v>2</v>
      </c>
      <c r="P11" s="34"/>
      <c r="Q11" s="24"/>
      <c r="R11" s="24"/>
      <c r="S11" s="66">
        <v>10</v>
      </c>
      <c r="T11" s="66">
        <v>4.46</v>
      </c>
      <c r="U11" s="7"/>
      <c r="V11" s="7"/>
      <c r="W11" s="66">
        <f t="shared" si="2"/>
        <v>2.2421524663677128</v>
      </c>
      <c r="X11" s="34"/>
      <c r="Y11" s="5">
        <f>AA11*(0.906-(0.044*Z11/G12))</f>
        <v>3.777555</v>
      </c>
      <c r="Z11" s="66">
        <v>7</v>
      </c>
      <c r="AA11" s="66">
        <v>4.26</v>
      </c>
      <c r="AB11" s="66">
        <v>7</v>
      </c>
      <c r="AC11" s="66">
        <v>3.32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7"/>
      <c r="G12" s="66">
        <v>16</v>
      </c>
      <c r="H12" s="66">
        <v>3.71</v>
      </c>
      <c r="I12" s="7"/>
      <c r="J12" s="7"/>
      <c r="K12" s="66">
        <f t="shared" si="1"/>
        <v>4.3126684636118595</v>
      </c>
      <c r="L12" s="36"/>
      <c r="M12" s="6">
        <v>60</v>
      </c>
      <c r="N12" s="34"/>
      <c r="O12" s="2">
        <v>7</v>
      </c>
      <c r="P12" s="34"/>
      <c r="Q12" s="24"/>
      <c r="R12" s="24"/>
      <c r="S12" s="66">
        <v>14.7</v>
      </c>
      <c r="T12" s="66">
        <v>5.4</v>
      </c>
      <c r="U12" s="7"/>
      <c r="V12" s="7"/>
      <c r="W12" s="66">
        <f t="shared" si="2"/>
        <v>2.7222222222222219</v>
      </c>
      <c r="X12" s="34"/>
      <c r="Y12" s="5">
        <f>K12</f>
        <v>4.3126684636118595</v>
      </c>
      <c r="Z12" s="66">
        <v>5.0999999999999996</v>
      </c>
      <c r="AA12" s="66">
        <v>6.32</v>
      </c>
      <c r="AB12" s="66">
        <v>4.8600000000000003</v>
      </c>
      <c r="AC12" s="66">
        <v>4.83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24"/>
      <c r="G13" s="26" t="s">
        <v>61</v>
      </c>
      <c r="H13" s="26" t="s">
        <v>61</v>
      </c>
      <c r="I13" s="24"/>
      <c r="J13" s="24"/>
      <c r="K13" s="26" t="s">
        <v>61</v>
      </c>
      <c r="L13" s="36"/>
      <c r="M13" s="6">
        <v>60</v>
      </c>
      <c r="N13" s="34"/>
      <c r="O13" s="2">
        <v>12</v>
      </c>
      <c r="P13" s="34"/>
      <c r="Q13" s="24"/>
      <c r="R13" s="24"/>
      <c r="S13" s="26" t="s">
        <v>61</v>
      </c>
      <c r="T13" s="26" t="s">
        <v>61</v>
      </c>
      <c r="U13" s="24"/>
      <c r="V13" s="24"/>
      <c r="W13" s="26" t="s">
        <v>61</v>
      </c>
      <c r="X13" s="34"/>
      <c r="Y13" s="36"/>
      <c r="Z13" s="66">
        <v>5.8</v>
      </c>
      <c r="AA13" s="66">
        <v>7.78</v>
      </c>
      <c r="AB13" s="66">
        <v>5.71</v>
      </c>
      <c r="AC13" s="66">
        <v>6.15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9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 t="s">
        <v>159</v>
      </c>
      <c r="B15" s="1" t="s">
        <v>154</v>
      </c>
      <c r="C15" s="4"/>
      <c r="D15" s="2"/>
      <c r="E15" s="61"/>
      <c r="F15" s="24"/>
      <c r="G15" s="24"/>
      <c r="H15" s="24"/>
      <c r="I15" s="24"/>
      <c r="J15" s="24"/>
      <c r="K15" s="24"/>
      <c r="L15" s="36"/>
      <c r="M15" s="63"/>
      <c r="N15" s="34"/>
      <c r="O15" s="64"/>
      <c r="P15" s="34"/>
      <c r="Q15" s="24"/>
      <c r="R15" s="24"/>
      <c r="S15" s="24"/>
      <c r="T15" s="24"/>
      <c r="U15" s="24"/>
      <c r="V15" s="24"/>
      <c r="W15" s="24"/>
      <c r="X15" s="43">
        <v>6</v>
      </c>
      <c r="Y15" s="36"/>
      <c r="Z15" s="24"/>
      <c r="AA15" s="24"/>
      <c r="AB15" s="24"/>
      <c r="AC15" s="24"/>
      <c r="AD15" s="34"/>
      <c r="AE15" s="2" t="s">
        <v>37</v>
      </c>
      <c r="AF15" s="66">
        <v>12.2</v>
      </c>
      <c r="AG15" s="66">
        <v>4.55</v>
      </c>
      <c r="AH15" s="66">
        <f>AF15/AG15</f>
        <v>2.6813186813186811</v>
      </c>
    </row>
    <row r="16" spans="1:37" x14ac:dyDescent="0.4">
      <c r="A16" s="3"/>
      <c r="C16" s="13">
        <v>-25</v>
      </c>
      <c r="D16" s="2"/>
      <c r="E16" s="61"/>
      <c r="F16" s="7"/>
      <c r="G16" s="69" t="s">
        <v>61</v>
      </c>
      <c r="H16" s="69" t="s">
        <v>61</v>
      </c>
      <c r="I16" s="7"/>
      <c r="J16" s="7"/>
      <c r="K16" s="68" t="s">
        <v>61</v>
      </c>
      <c r="L16" s="36"/>
      <c r="M16" s="6">
        <v>55</v>
      </c>
      <c r="N16" s="34"/>
      <c r="O16" s="2">
        <v>-25</v>
      </c>
      <c r="P16" s="34"/>
      <c r="Q16" s="24"/>
      <c r="R16" s="24"/>
      <c r="S16" s="69" t="s">
        <v>61</v>
      </c>
      <c r="T16" s="69" t="s">
        <v>61</v>
      </c>
      <c r="U16" s="7"/>
      <c r="V16" s="7"/>
      <c r="W16" s="68" t="s">
        <v>61</v>
      </c>
      <c r="X16" s="34"/>
      <c r="Y16" s="36"/>
      <c r="Z16" s="24"/>
      <c r="AA16" s="24"/>
      <c r="AB16" s="24"/>
      <c r="AC16" s="24"/>
      <c r="AD16" s="34"/>
      <c r="AE16" s="2"/>
      <c r="AF16" s="7"/>
      <c r="AG16" s="7"/>
      <c r="AH16" s="7"/>
    </row>
    <row r="17" spans="1:34" x14ac:dyDescent="0.4">
      <c r="A17" s="46"/>
      <c r="C17" s="13">
        <v>-20</v>
      </c>
      <c r="D17" s="2"/>
      <c r="E17" s="61"/>
      <c r="F17" s="7"/>
      <c r="G17" s="66">
        <v>10.3</v>
      </c>
      <c r="H17" s="66">
        <v>4.55</v>
      </c>
      <c r="I17" s="7"/>
      <c r="J17" s="7"/>
      <c r="K17" s="66">
        <f>G17/H17</f>
        <v>2.2637362637362641</v>
      </c>
      <c r="L17" s="36"/>
      <c r="M17" s="6">
        <v>55</v>
      </c>
      <c r="N17" s="34"/>
      <c r="O17" s="2">
        <v>-20</v>
      </c>
      <c r="P17" s="34"/>
      <c r="Q17" s="24"/>
      <c r="R17" s="24"/>
      <c r="S17" s="66">
        <v>7.9</v>
      </c>
      <c r="T17" s="66">
        <v>5.35</v>
      </c>
      <c r="U17" s="7"/>
      <c r="V17" s="7"/>
      <c r="W17" s="66">
        <f t="shared" ref="W17:W18" si="3">S17/T17</f>
        <v>1.4766355140186918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6">
        <v>14.4</v>
      </c>
      <c r="AG17" s="66">
        <v>4.6900000000000004</v>
      </c>
      <c r="AH17" s="66">
        <f>AF17/AG17</f>
        <v>3.0703624733475476</v>
      </c>
    </row>
    <row r="18" spans="1:34" x14ac:dyDescent="0.4">
      <c r="A18" s="3"/>
      <c r="C18" s="2">
        <v>-15</v>
      </c>
      <c r="D18" s="2"/>
      <c r="E18" s="61"/>
      <c r="F18" s="7"/>
      <c r="G18" s="66">
        <v>10.5</v>
      </c>
      <c r="H18" s="66">
        <v>4.47</v>
      </c>
      <c r="I18" s="7"/>
      <c r="J18" s="7"/>
      <c r="K18" s="66">
        <f>G18/H18</f>
        <v>2.348993288590604</v>
      </c>
      <c r="L18" s="36"/>
      <c r="M18" s="6">
        <v>55</v>
      </c>
      <c r="N18" s="34"/>
      <c r="O18" s="2">
        <v>-15</v>
      </c>
      <c r="P18" s="34"/>
      <c r="Q18" s="24"/>
      <c r="R18" s="24"/>
      <c r="S18" s="66">
        <v>8</v>
      </c>
      <c r="T18" s="66">
        <v>4.91</v>
      </c>
      <c r="U18" s="7"/>
      <c r="V18" s="7"/>
      <c r="W18" s="66">
        <f t="shared" si="3"/>
        <v>1.6293279022403258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6">
        <v>13</v>
      </c>
      <c r="AG18" s="66">
        <v>3.42</v>
      </c>
      <c r="AH18" s="66">
        <f>AF18/AG18</f>
        <v>3.801169590643275</v>
      </c>
    </row>
    <row r="19" spans="1:34" x14ac:dyDescent="0.4">
      <c r="A19" s="3"/>
      <c r="C19" s="2">
        <v>-10</v>
      </c>
      <c r="D19" s="2"/>
      <c r="E19" s="61"/>
      <c r="F19" s="7"/>
      <c r="G19" s="69" t="s">
        <v>61</v>
      </c>
      <c r="H19" s="69" t="s">
        <v>61</v>
      </c>
      <c r="I19" s="7"/>
      <c r="J19" s="7"/>
      <c r="K19" s="68" t="s">
        <v>61</v>
      </c>
      <c r="L19" s="36"/>
      <c r="M19" s="6">
        <v>60</v>
      </c>
      <c r="N19" s="34"/>
      <c r="O19" s="2">
        <v>-10</v>
      </c>
      <c r="P19" s="34"/>
      <c r="Q19" s="24"/>
      <c r="R19" s="24"/>
      <c r="S19" s="69" t="s">
        <v>61</v>
      </c>
      <c r="T19" s="69" t="s">
        <v>61</v>
      </c>
      <c r="U19" s="7"/>
      <c r="V19" s="7"/>
      <c r="W19" s="68" t="s">
        <v>61</v>
      </c>
      <c r="X19" s="34"/>
      <c r="Y19" s="36" t="s">
        <v>39</v>
      </c>
      <c r="Z19" s="66">
        <v>10.1</v>
      </c>
      <c r="AA19" s="66">
        <v>2.87</v>
      </c>
      <c r="AB19" s="66">
        <v>10</v>
      </c>
      <c r="AC19" s="66">
        <v>1.88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61"/>
      <c r="F20" s="7"/>
      <c r="G20" s="66">
        <v>11.7</v>
      </c>
      <c r="H20" s="66">
        <v>4.4800000000000004</v>
      </c>
      <c r="I20" s="7"/>
      <c r="J20" s="7"/>
      <c r="K20" s="66">
        <f t="shared" ref="K20:K22" si="4">G20/H20</f>
        <v>2.6116071428571423</v>
      </c>
      <c r="L20" s="36"/>
      <c r="M20" s="6">
        <v>60</v>
      </c>
      <c r="N20" s="34"/>
      <c r="O20" s="2">
        <v>-7</v>
      </c>
      <c r="P20" s="34"/>
      <c r="Q20" s="24"/>
      <c r="R20" s="24"/>
      <c r="S20" s="66">
        <v>9.1</v>
      </c>
      <c r="T20" s="66">
        <v>4.92</v>
      </c>
      <c r="U20" s="7"/>
      <c r="V20" s="7"/>
      <c r="W20" s="66">
        <f t="shared" ref="W20:W22" si="5">S20/T20</f>
        <v>1.8495934959349594</v>
      </c>
      <c r="X20" s="34"/>
      <c r="Y20" s="5">
        <f>AA20*(1.029-(0.05*Z20/G22))</f>
        <v>2.6117543749999999</v>
      </c>
      <c r="Z20" s="66">
        <v>11.5</v>
      </c>
      <c r="AA20" s="66">
        <v>2.63</v>
      </c>
      <c r="AB20" s="66">
        <v>9.5</v>
      </c>
      <c r="AC20" s="66">
        <v>2.31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61"/>
      <c r="F21" s="7"/>
      <c r="G21" s="66">
        <v>13</v>
      </c>
      <c r="H21" s="66">
        <v>4.09</v>
      </c>
      <c r="I21" s="7"/>
      <c r="J21" s="7"/>
      <c r="K21" s="66">
        <f t="shared" si="4"/>
        <v>3.1784841075794623</v>
      </c>
      <c r="L21" s="36"/>
      <c r="M21" s="6">
        <v>60</v>
      </c>
      <c r="N21" s="34"/>
      <c r="O21" s="2">
        <v>2</v>
      </c>
      <c r="P21" s="34"/>
      <c r="Q21" s="24"/>
      <c r="R21" s="24"/>
      <c r="S21" s="66">
        <v>10</v>
      </c>
      <c r="T21" s="66">
        <v>4.46</v>
      </c>
      <c r="U21" s="7"/>
      <c r="V21" s="7"/>
      <c r="W21" s="66">
        <f t="shared" si="5"/>
        <v>2.2421524663677128</v>
      </c>
      <c r="X21" s="34"/>
      <c r="Y21" s="5">
        <f>AA21*(0.906-(0.044*Z21/G22))</f>
        <v>3.777555</v>
      </c>
      <c r="Z21" s="66">
        <v>7</v>
      </c>
      <c r="AA21" s="66">
        <v>4.26</v>
      </c>
      <c r="AB21" s="66">
        <v>7</v>
      </c>
      <c r="AC21" s="66">
        <v>3.32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61"/>
      <c r="F22" s="7"/>
      <c r="G22" s="66">
        <v>16</v>
      </c>
      <c r="H22" s="66">
        <v>3.71</v>
      </c>
      <c r="I22" s="7"/>
      <c r="J22" s="7"/>
      <c r="K22" s="66">
        <f t="shared" si="4"/>
        <v>4.3126684636118595</v>
      </c>
      <c r="L22" s="36"/>
      <c r="M22" s="6">
        <v>60</v>
      </c>
      <c r="N22" s="34"/>
      <c r="O22" s="2">
        <v>7</v>
      </c>
      <c r="P22" s="34"/>
      <c r="Q22" s="24"/>
      <c r="R22" s="24"/>
      <c r="S22" s="66">
        <v>14.7</v>
      </c>
      <c r="T22" s="66">
        <v>5.4</v>
      </c>
      <c r="U22" s="7"/>
      <c r="V22" s="7"/>
      <c r="W22" s="66">
        <f t="shared" si="5"/>
        <v>2.7222222222222219</v>
      </c>
      <c r="X22" s="34"/>
      <c r="Y22" s="5">
        <f>K22</f>
        <v>4.3126684636118595</v>
      </c>
      <c r="Z22" s="66">
        <v>5.0999999999999996</v>
      </c>
      <c r="AA22" s="66">
        <v>6.32</v>
      </c>
      <c r="AB22" s="66">
        <v>4.8600000000000003</v>
      </c>
      <c r="AC22" s="66">
        <v>4.83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61"/>
      <c r="F23" s="7"/>
      <c r="G23" s="68" t="s">
        <v>61</v>
      </c>
      <c r="H23" s="68" t="s">
        <v>61</v>
      </c>
      <c r="I23" s="7"/>
      <c r="J23" s="7"/>
      <c r="K23" s="68" t="s">
        <v>61</v>
      </c>
      <c r="L23" s="36"/>
      <c r="M23" s="6">
        <v>60</v>
      </c>
      <c r="N23" s="34"/>
      <c r="O23" s="2">
        <v>12</v>
      </c>
      <c r="P23" s="34"/>
      <c r="Q23" s="24"/>
      <c r="R23" s="24"/>
      <c r="S23" s="26" t="s">
        <v>61</v>
      </c>
      <c r="T23" s="26" t="s">
        <v>61</v>
      </c>
      <c r="U23" s="24"/>
      <c r="V23" s="24"/>
      <c r="W23" s="26" t="s">
        <v>61</v>
      </c>
      <c r="X23" s="34"/>
      <c r="Y23" s="36"/>
      <c r="Z23" s="66">
        <v>5.8</v>
      </c>
      <c r="AA23" s="66">
        <v>7.78</v>
      </c>
      <c r="AB23" s="66">
        <v>5.71</v>
      </c>
      <c r="AC23" s="66">
        <v>6.15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9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 t="s">
        <v>160</v>
      </c>
      <c r="B25" s="1" t="s">
        <v>154</v>
      </c>
      <c r="C25" s="4"/>
      <c r="D25" s="2"/>
      <c r="E25" s="61"/>
      <c r="F25" s="24"/>
      <c r="G25" s="24"/>
      <c r="H25" s="24"/>
      <c r="I25" s="24"/>
      <c r="J25" s="24"/>
      <c r="K25" s="24"/>
      <c r="L25" s="36"/>
      <c r="M25" s="63"/>
      <c r="N25" s="34"/>
      <c r="O25" s="64"/>
      <c r="P25" s="34"/>
      <c r="Q25" s="24"/>
      <c r="R25" s="24"/>
      <c r="S25" s="24"/>
      <c r="T25" s="24"/>
      <c r="U25" s="24"/>
      <c r="V25" s="24"/>
      <c r="W25" s="24"/>
      <c r="X25" s="43">
        <v>6</v>
      </c>
      <c r="Y25" s="36"/>
      <c r="Z25" s="24"/>
      <c r="AA25" s="24"/>
      <c r="AB25" s="24"/>
      <c r="AC25" s="24"/>
      <c r="AD25" s="34"/>
      <c r="AE25" s="2" t="s">
        <v>37</v>
      </c>
      <c r="AF25" s="66">
        <v>12.2</v>
      </c>
      <c r="AG25" s="66">
        <v>4.55</v>
      </c>
      <c r="AH25" s="66">
        <f>AF25/AG25</f>
        <v>2.6813186813186811</v>
      </c>
    </row>
    <row r="26" spans="1:34" x14ac:dyDescent="0.4">
      <c r="A26" s="3"/>
      <c r="C26" s="13">
        <v>-25</v>
      </c>
      <c r="D26" s="2"/>
      <c r="E26" s="61"/>
      <c r="F26" s="24"/>
      <c r="G26" s="69" t="s">
        <v>61</v>
      </c>
      <c r="H26" s="69" t="s">
        <v>61</v>
      </c>
      <c r="I26" s="7"/>
      <c r="J26" s="7"/>
      <c r="K26" s="68" t="s">
        <v>61</v>
      </c>
      <c r="L26" s="36"/>
      <c r="M26" s="6">
        <v>55</v>
      </c>
      <c r="N26" s="34"/>
      <c r="O26" s="2">
        <v>-25</v>
      </c>
      <c r="P26" s="34"/>
      <c r="Q26" s="24"/>
      <c r="R26" s="24"/>
      <c r="S26" s="69" t="s">
        <v>61</v>
      </c>
      <c r="T26" s="69" t="s">
        <v>61</v>
      </c>
      <c r="U26" s="7"/>
      <c r="V26" s="7"/>
      <c r="W26" s="68" t="s">
        <v>61</v>
      </c>
      <c r="X26" s="34"/>
      <c r="Y26" s="36"/>
      <c r="Z26" s="24"/>
      <c r="AA26" s="24"/>
      <c r="AB26" s="24"/>
      <c r="AC26" s="24"/>
      <c r="AD26" s="34"/>
      <c r="AE26" s="2"/>
      <c r="AF26" s="7"/>
      <c r="AG26" s="7"/>
      <c r="AH26" s="7"/>
    </row>
    <row r="27" spans="1:34" x14ac:dyDescent="0.4">
      <c r="A27" s="46"/>
      <c r="C27" s="13">
        <v>-20</v>
      </c>
      <c r="D27" s="2"/>
      <c r="E27" s="61"/>
      <c r="F27" s="24"/>
      <c r="G27" s="66">
        <v>10.3</v>
      </c>
      <c r="H27" s="66">
        <v>4.55</v>
      </c>
      <c r="I27" s="7"/>
      <c r="J27" s="7"/>
      <c r="K27" s="66">
        <f>G27/H27</f>
        <v>2.2637362637362641</v>
      </c>
      <c r="L27" s="36"/>
      <c r="M27" s="6">
        <v>55</v>
      </c>
      <c r="N27" s="34"/>
      <c r="O27" s="2">
        <v>-20</v>
      </c>
      <c r="P27" s="34"/>
      <c r="Q27" s="24"/>
      <c r="R27" s="24"/>
      <c r="S27" s="66">
        <v>7.9</v>
      </c>
      <c r="T27" s="66">
        <v>5.35</v>
      </c>
      <c r="U27" s="7"/>
      <c r="V27" s="7"/>
      <c r="W27" s="66">
        <f t="shared" ref="W27:W28" si="6">S27/T27</f>
        <v>1.4766355140186918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6">
        <v>14.4</v>
      </c>
      <c r="AG27" s="66">
        <v>4.6900000000000004</v>
      </c>
      <c r="AH27" s="66">
        <f>AF27/AG27</f>
        <v>3.0703624733475476</v>
      </c>
    </row>
    <row r="28" spans="1:34" x14ac:dyDescent="0.4">
      <c r="A28" s="3"/>
      <c r="C28" s="2">
        <v>-15</v>
      </c>
      <c r="D28" s="2"/>
      <c r="E28" s="61"/>
      <c r="F28" s="24"/>
      <c r="G28" s="66">
        <v>10.5</v>
      </c>
      <c r="H28" s="66">
        <v>4.47</v>
      </c>
      <c r="I28" s="7"/>
      <c r="J28" s="7"/>
      <c r="K28" s="66">
        <f>G28/H28</f>
        <v>2.348993288590604</v>
      </c>
      <c r="L28" s="36"/>
      <c r="M28" s="6">
        <v>55</v>
      </c>
      <c r="N28" s="34"/>
      <c r="O28" s="2">
        <v>-15</v>
      </c>
      <c r="P28" s="34"/>
      <c r="Q28" s="24"/>
      <c r="R28" s="24"/>
      <c r="S28" s="66">
        <v>8</v>
      </c>
      <c r="T28" s="66">
        <v>4.91</v>
      </c>
      <c r="U28" s="7"/>
      <c r="V28" s="7"/>
      <c r="W28" s="66">
        <f t="shared" si="6"/>
        <v>1.6293279022403258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6">
        <v>13</v>
      </c>
      <c r="AG28" s="66">
        <v>3.42</v>
      </c>
      <c r="AH28" s="66">
        <f>AF28/AG28</f>
        <v>3.801169590643275</v>
      </c>
    </row>
    <row r="29" spans="1:34" x14ac:dyDescent="0.4">
      <c r="A29" s="3"/>
      <c r="C29" s="2">
        <v>-10</v>
      </c>
      <c r="D29" s="2"/>
      <c r="E29" s="61"/>
      <c r="F29" s="24"/>
      <c r="G29" s="69" t="s">
        <v>61</v>
      </c>
      <c r="H29" s="69" t="s">
        <v>61</v>
      </c>
      <c r="I29" s="7"/>
      <c r="J29" s="7"/>
      <c r="K29" s="68" t="s">
        <v>61</v>
      </c>
      <c r="L29" s="36"/>
      <c r="M29" s="6">
        <v>60</v>
      </c>
      <c r="N29" s="34"/>
      <c r="O29" s="2">
        <v>-10</v>
      </c>
      <c r="P29" s="34"/>
      <c r="Q29" s="24"/>
      <c r="R29" s="24"/>
      <c r="S29" s="69" t="s">
        <v>61</v>
      </c>
      <c r="T29" s="69" t="s">
        <v>61</v>
      </c>
      <c r="U29" s="7"/>
      <c r="V29" s="7"/>
      <c r="W29" s="68" t="s">
        <v>61</v>
      </c>
      <c r="X29" s="34"/>
      <c r="Y29" s="36" t="s">
        <v>39</v>
      </c>
      <c r="Z29" s="66">
        <v>10.1</v>
      </c>
      <c r="AA29" s="66">
        <v>2.87</v>
      </c>
      <c r="AB29" s="66">
        <v>10</v>
      </c>
      <c r="AC29" s="66">
        <v>1.88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61"/>
      <c r="F30" s="24"/>
      <c r="G30" s="66">
        <v>11.7</v>
      </c>
      <c r="H30" s="66">
        <v>4.4800000000000004</v>
      </c>
      <c r="I30" s="7"/>
      <c r="J30" s="7"/>
      <c r="K30" s="66">
        <f t="shared" ref="K30:K32" si="7">G30/H30</f>
        <v>2.6116071428571423</v>
      </c>
      <c r="L30" s="36"/>
      <c r="M30" s="6">
        <v>60</v>
      </c>
      <c r="N30" s="34"/>
      <c r="O30" s="2">
        <v>-7</v>
      </c>
      <c r="P30" s="34"/>
      <c r="Q30" s="24"/>
      <c r="R30" s="24"/>
      <c r="S30" s="66">
        <v>9.1</v>
      </c>
      <c r="T30" s="66">
        <v>4.92</v>
      </c>
      <c r="U30" s="7"/>
      <c r="V30" s="7"/>
      <c r="W30" s="66">
        <f t="shared" ref="W30:W32" si="8">S30/T30</f>
        <v>1.8495934959349594</v>
      </c>
      <c r="X30" s="34"/>
      <c r="Y30" s="5">
        <f>AA30*(1.029-(0.05*Z30/G32))</f>
        <v>2.6117543749999999</v>
      </c>
      <c r="Z30" s="66">
        <v>11.5</v>
      </c>
      <c r="AA30" s="66">
        <v>2.63</v>
      </c>
      <c r="AB30" s="66">
        <v>9.5</v>
      </c>
      <c r="AC30" s="66">
        <v>2.31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61"/>
      <c r="F31" s="24"/>
      <c r="G31" s="66">
        <v>13</v>
      </c>
      <c r="H31" s="66">
        <v>4.09</v>
      </c>
      <c r="I31" s="7"/>
      <c r="J31" s="7"/>
      <c r="K31" s="66">
        <f t="shared" si="7"/>
        <v>3.1784841075794623</v>
      </c>
      <c r="L31" s="36"/>
      <c r="M31" s="6">
        <v>60</v>
      </c>
      <c r="N31" s="34"/>
      <c r="O31" s="2">
        <v>2</v>
      </c>
      <c r="P31" s="34"/>
      <c r="Q31" s="24"/>
      <c r="R31" s="24"/>
      <c r="S31" s="66">
        <v>10</v>
      </c>
      <c r="T31" s="66">
        <v>4.46</v>
      </c>
      <c r="U31" s="7"/>
      <c r="V31" s="7"/>
      <c r="W31" s="66">
        <f t="shared" si="8"/>
        <v>2.2421524663677128</v>
      </c>
      <c r="X31" s="34"/>
      <c r="Y31" s="5">
        <f>AA31*(0.906-(0.044*Z31/G32))</f>
        <v>3.777555</v>
      </c>
      <c r="Z31" s="66">
        <v>7</v>
      </c>
      <c r="AA31" s="66">
        <v>4.26</v>
      </c>
      <c r="AB31" s="66">
        <v>7</v>
      </c>
      <c r="AC31" s="66">
        <v>3.32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61"/>
      <c r="F32" s="24"/>
      <c r="G32" s="66">
        <v>16</v>
      </c>
      <c r="H32" s="66">
        <v>3.71</v>
      </c>
      <c r="I32" s="7"/>
      <c r="J32" s="7"/>
      <c r="K32" s="66">
        <f t="shared" si="7"/>
        <v>4.3126684636118595</v>
      </c>
      <c r="L32" s="36"/>
      <c r="M32" s="6">
        <v>60</v>
      </c>
      <c r="N32" s="34"/>
      <c r="O32" s="2">
        <v>7</v>
      </c>
      <c r="P32" s="34"/>
      <c r="Q32" s="24"/>
      <c r="R32" s="24"/>
      <c r="S32" s="66">
        <v>14.7</v>
      </c>
      <c r="T32" s="66">
        <v>5.4</v>
      </c>
      <c r="U32" s="7"/>
      <c r="V32" s="7"/>
      <c r="W32" s="66">
        <f t="shared" si="8"/>
        <v>2.7222222222222219</v>
      </c>
      <c r="X32" s="34"/>
      <c r="Y32" s="5">
        <f>K32</f>
        <v>4.3126684636118595</v>
      </c>
      <c r="Z32" s="66">
        <v>5.0999999999999996</v>
      </c>
      <c r="AA32" s="66">
        <v>6.32</v>
      </c>
      <c r="AB32" s="66">
        <v>4.8600000000000003</v>
      </c>
      <c r="AC32" s="66">
        <v>4.83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61"/>
      <c r="F33" s="24"/>
      <c r="G33" s="26" t="s">
        <v>61</v>
      </c>
      <c r="H33" s="26" t="s">
        <v>61</v>
      </c>
      <c r="I33" s="24"/>
      <c r="J33" s="24"/>
      <c r="K33" s="26" t="s">
        <v>61</v>
      </c>
      <c r="L33" s="36"/>
      <c r="M33" s="6">
        <v>60</v>
      </c>
      <c r="N33" s="34"/>
      <c r="O33" s="2">
        <v>12</v>
      </c>
      <c r="P33" s="34"/>
      <c r="Q33" s="24"/>
      <c r="R33" s="24"/>
      <c r="S33" s="26" t="s">
        <v>61</v>
      </c>
      <c r="T33" s="26" t="s">
        <v>61</v>
      </c>
      <c r="U33" s="24"/>
      <c r="V33" s="24"/>
      <c r="W33" s="26" t="s">
        <v>61</v>
      </c>
      <c r="X33" s="34"/>
      <c r="Y33" s="36"/>
      <c r="Z33" s="66">
        <v>5.8</v>
      </c>
      <c r="AA33" s="66">
        <v>7.78</v>
      </c>
      <c r="AB33" s="66">
        <v>5.71</v>
      </c>
      <c r="AC33" s="66">
        <v>6.15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x14ac:dyDescent="0.4">
      <c r="A35"/>
      <c r="AF35" s="15"/>
      <c r="AG35" s="15"/>
      <c r="AH35" s="15"/>
    </row>
    <row r="36" spans="1:34" x14ac:dyDescent="0.4">
      <c r="A36" s="47" t="s">
        <v>143</v>
      </c>
    </row>
    <row r="38" spans="1:34" x14ac:dyDescent="0.4">
      <c r="A38" s="1" t="s">
        <v>188</v>
      </c>
    </row>
    <row r="39" spans="1:34" x14ac:dyDescent="0.4">
      <c r="A39" s="1" t="s">
        <v>189</v>
      </c>
    </row>
    <row r="40" spans="1:34" x14ac:dyDescent="0.4">
      <c r="A40" s="1" t="s">
        <v>190</v>
      </c>
    </row>
    <row r="41" spans="1:34" x14ac:dyDescent="0.4">
      <c r="A41"/>
    </row>
    <row r="42" spans="1:34" x14ac:dyDescent="0.4">
      <c r="A42"/>
    </row>
    <row r="44" spans="1:34" x14ac:dyDescent="0.4">
      <c r="A44"/>
    </row>
    <row r="45" spans="1:34" x14ac:dyDescent="0.4">
      <c r="A45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4949-B4C3-4836-A7C8-D9BEBC18BC52}">
  <sheetPr>
    <tabColor rgb="FFFF0000"/>
  </sheetPr>
  <dimension ref="A1:AK101"/>
  <sheetViews>
    <sheetView zoomScale="55" zoomScaleNormal="55" workbookViewId="0">
      <selection activeCell="AQ54" sqref="AQ54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136</v>
      </c>
      <c r="B5" s="1" t="s">
        <v>161</v>
      </c>
      <c r="C5" s="4"/>
      <c r="D5" s="2"/>
      <c r="E5" s="61"/>
      <c r="F5" s="7"/>
      <c r="G5" s="7"/>
      <c r="H5" s="7"/>
      <c r="I5" s="7"/>
      <c r="J5" s="24"/>
      <c r="K5" s="24"/>
      <c r="L5" s="36"/>
      <c r="M5" s="27"/>
      <c r="N5" s="34"/>
      <c r="O5" s="64"/>
      <c r="P5" s="34"/>
      <c r="Q5" s="24"/>
      <c r="R5" s="24"/>
      <c r="S5" s="24"/>
      <c r="T5" s="24"/>
      <c r="U5" s="24"/>
      <c r="V5" s="24"/>
      <c r="W5" s="24"/>
      <c r="X5" s="43">
        <v>3</v>
      </c>
      <c r="Y5" s="36"/>
      <c r="Z5" s="24"/>
      <c r="AA5" s="24"/>
      <c r="AB5" s="24"/>
      <c r="AC5" s="24"/>
      <c r="AD5" s="34"/>
      <c r="AE5" s="2" t="s">
        <v>37</v>
      </c>
      <c r="AF5" s="66">
        <v>12</v>
      </c>
      <c r="AG5" s="66">
        <v>3.7</v>
      </c>
      <c r="AH5" s="66">
        <f>AF5/AG5</f>
        <v>3.243243243243243</v>
      </c>
    </row>
    <row r="6" spans="1:37" x14ac:dyDescent="0.4">
      <c r="A6" s="3"/>
      <c r="C6" s="13">
        <v>-25</v>
      </c>
      <c r="D6" s="2"/>
      <c r="E6" s="61"/>
      <c r="F6" s="7"/>
      <c r="G6" s="66">
        <v>7.2</v>
      </c>
      <c r="H6" s="66">
        <v>3.85</v>
      </c>
      <c r="I6" s="7"/>
      <c r="J6" s="24"/>
      <c r="K6" s="66">
        <f>G6/H6</f>
        <v>1.8701298701298701</v>
      </c>
      <c r="L6" s="36"/>
      <c r="M6" s="6">
        <v>55</v>
      </c>
      <c r="N6" s="34"/>
      <c r="O6" s="2">
        <v>-25</v>
      </c>
      <c r="P6" s="34"/>
      <c r="Q6" s="24"/>
      <c r="R6" s="7"/>
      <c r="S6" s="66">
        <v>7.1</v>
      </c>
      <c r="T6" s="66">
        <v>5.68</v>
      </c>
      <c r="U6" s="24"/>
      <c r="V6" s="24"/>
      <c r="W6" s="66">
        <f>S6/T6</f>
        <v>1.25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7"/>
      <c r="G7" s="66">
        <v>8.1</v>
      </c>
      <c r="H7" s="66">
        <v>3.85</v>
      </c>
      <c r="I7" s="7"/>
      <c r="J7" s="24"/>
      <c r="K7" s="66">
        <f t="shared" ref="K7:K8" si="0">G7/H7</f>
        <v>2.1038961038961039</v>
      </c>
      <c r="L7" s="36"/>
      <c r="M7" s="6">
        <v>65</v>
      </c>
      <c r="N7" s="34"/>
      <c r="O7" s="2">
        <v>-20</v>
      </c>
      <c r="P7" s="34"/>
      <c r="Q7" s="24"/>
      <c r="R7" s="7"/>
      <c r="S7" s="66">
        <v>7.8</v>
      </c>
      <c r="T7" s="66">
        <v>5.21</v>
      </c>
      <c r="U7" s="24"/>
      <c r="V7" s="24"/>
      <c r="W7" s="66">
        <f t="shared" ref="W7:W8" si="1">S7/T7</f>
        <v>1.4971209213051824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15</v>
      </c>
      <c r="AG7" s="66">
        <v>3.9</v>
      </c>
      <c r="AH7" s="66">
        <f>AF7/AG7</f>
        <v>3.8461538461538463</v>
      </c>
    </row>
    <row r="8" spans="1:37" x14ac:dyDescent="0.4">
      <c r="A8" s="3"/>
      <c r="C8" s="2">
        <v>-15</v>
      </c>
      <c r="D8" s="2"/>
      <c r="E8" s="61"/>
      <c r="F8" s="7"/>
      <c r="G8" s="66">
        <v>9.4</v>
      </c>
      <c r="H8" s="66">
        <v>3.78</v>
      </c>
      <c r="I8" s="7"/>
      <c r="J8" s="24"/>
      <c r="K8" s="66">
        <f t="shared" si="0"/>
        <v>2.486772486772487</v>
      </c>
      <c r="L8" s="36"/>
      <c r="M8" s="6">
        <v>75</v>
      </c>
      <c r="N8" s="34"/>
      <c r="O8" s="2">
        <v>-15</v>
      </c>
      <c r="P8" s="34"/>
      <c r="Q8" s="24"/>
      <c r="R8" s="7"/>
      <c r="S8" s="66">
        <v>8.8000000000000007</v>
      </c>
      <c r="T8" s="66">
        <v>5.2</v>
      </c>
      <c r="U8" s="24"/>
      <c r="V8" s="24"/>
      <c r="W8" s="66">
        <f t="shared" si="1"/>
        <v>1.6923076923076923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12</v>
      </c>
      <c r="AG8" s="66">
        <v>2.4</v>
      </c>
      <c r="AH8" s="66">
        <f>AF8/AG8</f>
        <v>5</v>
      </c>
    </row>
    <row r="9" spans="1:37" x14ac:dyDescent="0.4">
      <c r="A9" s="3"/>
      <c r="C9" s="2">
        <v>-10</v>
      </c>
      <c r="D9" s="2"/>
      <c r="E9" s="61"/>
      <c r="F9" s="7"/>
      <c r="G9" s="66"/>
      <c r="H9" s="66"/>
      <c r="I9" s="7"/>
      <c r="J9" s="24"/>
      <c r="K9" s="29" t="s">
        <v>61</v>
      </c>
      <c r="L9" s="36"/>
      <c r="M9" s="6">
        <v>75</v>
      </c>
      <c r="N9" s="34"/>
      <c r="O9" s="2">
        <v>-10</v>
      </c>
      <c r="P9" s="34"/>
      <c r="Q9" s="24"/>
      <c r="R9" s="7"/>
      <c r="S9" s="66"/>
      <c r="T9" s="66"/>
      <c r="U9" s="24"/>
      <c r="V9" s="24"/>
      <c r="W9" s="29" t="s">
        <v>61</v>
      </c>
      <c r="X9" s="34"/>
      <c r="Y9" s="36" t="s">
        <v>39</v>
      </c>
      <c r="Z9" s="66">
        <v>10</v>
      </c>
      <c r="AA9" s="66">
        <v>2.76</v>
      </c>
      <c r="AB9" s="66">
        <v>9.8000000000000007</v>
      </c>
      <c r="AC9" s="66">
        <v>1.83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7"/>
      <c r="G10" s="66">
        <v>10.5</v>
      </c>
      <c r="H10" s="66">
        <v>3.5</v>
      </c>
      <c r="I10" s="7"/>
      <c r="J10" s="24"/>
      <c r="K10" s="66">
        <f>G10/H10</f>
        <v>3</v>
      </c>
      <c r="L10" s="36"/>
      <c r="M10" s="6">
        <v>75</v>
      </c>
      <c r="N10" s="34"/>
      <c r="O10" s="2">
        <v>-7</v>
      </c>
      <c r="P10" s="34"/>
      <c r="Q10" s="24"/>
      <c r="R10" s="7"/>
      <c r="S10" s="66">
        <v>10</v>
      </c>
      <c r="T10" s="66">
        <v>5.08</v>
      </c>
      <c r="U10" s="24"/>
      <c r="V10" s="24"/>
      <c r="W10" s="66">
        <f>S10/T10</f>
        <v>1.9685039370078741</v>
      </c>
      <c r="X10" s="34"/>
      <c r="Y10" s="5">
        <f>AA10*(1.029-(0.05*Z10/G12))</f>
        <v>2.9001124324324321</v>
      </c>
      <c r="Z10" s="66">
        <v>10.6</v>
      </c>
      <c r="AA10" s="66">
        <v>2.92</v>
      </c>
      <c r="AB10" s="66">
        <v>10</v>
      </c>
      <c r="AC10" s="66">
        <v>2.04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7"/>
      <c r="G11" s="66">
        <v>12.5</v>
      </c>
      <c r="H11" s="66">
        <v>3.71</v>
      </c>
      <c r="I11" s="7"/>
      <c r="J11" s="24"/>
      <c r="K11" s="66">
        <f t="shared" ref="K11:K12" si="2">G11/H11</f>
        <v>3.3692722371967654</v>
      </c>
      <c r="L11" s="36"/>
      <c r="M11" s="6">
        <v>75</v>
      </c>
      <c r="N11" s="34"/>
      <c r="O11" s="2">
        <v>2</v>
      </c>
      <c r="P11" s="34"/>
      <c r="Q11" s="24"/>
      <c r="R11" s="7"/>
      <c r="S11" s="66">
        <v>12</v>
      </c>
      <c r="T11" s="66">
        <v>5.29</v>
      </c>
      <c r="U11" s="24"/>
      <c r="V11" s="24"/>
      <c r="W11" s="66">
        <f t="shared" ref="W11:W12" si="3">S11/T11</f>
        <v>2.2684310018903591</v>
      </c>
      <c r="X11" s="34"/>
      <c r="Y11" s="5">
        <f>AA11*(0.906-(0.044*Z11/G12))</f>
        <v>4.0698413513513518</v>
      </c>
      <c r="Z11" s="66">
        <v>6.5</v>
      </c>
      <c r="AA11" s="66">
        <v>4.59</v>
      </c>
      <c r="AB11" s="66">
        <v>6.5</v>
      </c>
      <c r="AC11" s="66">
        <v>3.56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7"/>
      <c r="G12" s="66">
        <v>14.8</v>
      </c>
      <c r="H12" s="66">
        <v>3.14</v>
      </c>
      <c r="I12" s="7"/>
      <c r="J12" s="24"/>
      <c r="K12" s="66">
        <f t="shared" si="2"/>
        <v>4.7133757961783438</v>
      </c>
      <c r="L12" s="36"/>
      <c r="M12" s="6">
        <v>75</v>
      </c>
      <c r="N12" s="34"/>
      <c r="O12" s="2">
        <v>7</v>
      </c>
      <c r="P12" s="34"/>
      <c r="Q12" s="24"/>
      <c r="R12" s="7"/>
      <c r="S12" s="66">
        <v>14.1</v>
      </c>
      <c r="T12" s="66">
        <v>4.67</v>
      </c>
      <c r="U12" s="24"/>
      <c r="V12" s="24"/>
      <c r="W12" s="66">
        <f t="shared" si="3"/>
        <v>3.0192719486081372</v>
      </c>
      <c r="X12" s="34"/>
      <c r="Y12" s="5">
        <f>K12</f>
        <v>4.7133757961783438</v>
      </c>
      <c r="Z12" s="66">
        <v>4.8</v>
      </c>
      <c r="AA12" s="66">
        <v>5.98</v>
      </c>
      <c r="AB12" s="66">
        <v>4.7</v>
      </c>
      <c r="AC12" s="66">
        <v>4.5999999999999996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7"/>
      <c r="G13" s="68" t="s">
        <v>61</v>
      </c>
      <c r="H13" s="68" t="s">
        <v>61</v>
      </c>
      <c r="I13" s="7"/>
      <c r="J13" s="24"/>
      <c r="K13" s="26" t="s">
        <v>61</v>
      </c>
      <c r="L13" s="36"/>
      <c r="M13" s="6">
        <v>75</v>
      </c>
      <c r="N13" s="34"/>
      <c r="O13" s="2">
        <v>12</v>
      </c>
      <c r="P13" s="34"/>
      <c r="Q13" s="24"/>
      <c r="R13" s="24"/>
      <c r="S13" s="26" t="s">
        <v>61</v>
      </c>
      <c r="T13" s="26" t="s">
        <v>61</v>
      </c>
      <c r="U13" s="24"/>
      <c r="V13" s="24"/>
      <c r="W13" s="26" t="s">
        <v>61</v>
      </c>
      <c r="X13" s="34"/>
      <c r="Y13" s="36"/>
      <c r="Z13" s="66">
        <v>5.5</v>
      </c>
      <c r="AA13" s="66">
        <v>7.54</v>
      </c>
      <c r="AB13" s="66">
        <v>5.2</v>
      </c>
      <c r="AC13" s="66">
        <v>5.52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30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 t="s">
        <v>144</v>
      </c>
      <c r="B15" s="1" t="s">
        <v>161</v>
      </c>
      <c r="C15" s="4"/>
      <c r="D15" s="2"/>
      <c r="E15" s="61"/>
      <c r="F15" s="24"/>
      <c r="G15" s="24"/>
      <c r="H15" s="24"/>
      <c r="I15" s="24"/>
      <c r="J15" s="24"/>
      <c r="K15" s="24"/>
      <c r="L15" s="36"/>
      <c r="M15" s="27"/>
      <c r="N15" s="34"/>
      <c r="O15" s="64"/>
      <c r="P15" s="34"/>
      <c r="Q15" s="24"/>
      <c r="R15" s="24"/>
      <c r="S15" s="24"/>
      <c r="T15" s="24"/>
      <c r="U15" s="24"/>
      <c r="V15" s="24"/>
      <c r="W15" s="24"/>
      <c r="X15" s="43">
        <v>6</v>
      </c>
      <c r="Y15" s="36"/>
      <c r="Z15" s="24"/>
      <c r="AA15" s="24"/>
      <c r="AB15" s="24"/>
      <c r="AC15" s="24"/>
      <c r="AD15" s="34"/>
      <c r="AE15" s="2" t="s">
        <v>37</v>
      </c>
      <c r="AF15" s="66">
        <v>12</v>
      </c>
      <c r="AG15" s="66">
        <v>3.7</v>
      </c>
      <c r="AH15" s="66">
        <f>AF15/AG15</f>
        <v>3.243243243243243</v>
      </c>
    </row>
    <row r="16" spans="1:37" x14ac:dyDescent="0.4">
      <c r="A16" s="3"/>
      <c r="C16" s="13">
        <v>-25</v>
      </c>
      <c r="D16" s="2"/>
      <c r="E16" s="61"/>
      <c r="F16" s="7"/>
      <c r="G16" s="66">
        <v>7.2</v>
      </c>
      <c r="H16" s="66">
        <v>3.85</v>
      </c>
      <c r="I16" s="24"/>
      <c r="J16" s="24"/>
      <c r="K16" s="66">
        <f>G16/H16</f>
        <v>1.8701298701298701</v>
      </c>
      <c r="L16" s="36"/>
      <c r="M16" s="6">
        <v>55</v>
      </c>
      <c r="N16" s="34"/>
      <c r="O16" s="2">
        <v>-25</v>
      </c>
      <c r="P16" s="34"/>
      <c r="Q16" s="24"/>
      <c r="R16" s="7"/>
      <c r="S16" s="66">
        <v>7.1</v>
      </c>
      <c r="T16" s="66">
        <v>5.68</v>
      </c>
      <c r="U16" s="7"/>
      <c r="V16" s="24"/>
      <c r="W16" s="66">
        <f>S16/T16</f>
        <v>1.25</v>
      </c>
      <c r="X16" s="34"/>
      <c r="Y16" s="36"/>
      <c r="Z16" s="24"/>
      <c r="AA16" s="24"/>
      <c r="AB16" s="24"/>
      <c r="AC16" s="24"/>
      <c r="AD16" s="34"/>
      <c r="AE16" s="2"/>
      <c r="AF16" s="7"/>
      <c r="AG16" s="7"/>
      <c r="AH16" s="7"/>
    </row>
    <row r="17" spans="1:34" x14ac:dyDescent="0.4">
      <c r="A17" s="46"/>
      <c r="C17" s="13">
        <v>-20</v>
      </c>
      <c r="D17" s="2"/>
      <c r="E17" s="61"/>
      <c r="F17" s="7"/>
      <c r="G17" s="66">
        <v>8.1</v>
      </c>
      <c r="H17" s="66">
        <v>3.85</v>
      </c>
      <c r="I17" s="24"/>
      <c r="J17" s="24"/>
      <c r="K17" s="66">
        <f t="shared" ref="K17:K18" si="4">G17/H17</f>
        <v>2.1038961038961039</v>
      </c>
      <c r="L17" s="36"/>
      <c r="M17" s="6">
        <v>65</v>
      </c>
      <c r="N17" s="34"/>
      <c r="O17" s="2">
        <v>-20</v>
      </c>
      <c r="P17" s="34"/>
      <c r="Q17" s="24"/>
      <c r="R17" s="7"/>
      <c r="S17" s="66">
        <v>7.8</v>
      </c>
      <c r="T17" s="66">
        <v>5.21</v>
      </c>
      <c r="U17" s="7"/>
      <c r="V17" s="24"/>
      <c r="W17" s="66">
        <f t="shared" ref="W17:W18" si="5">S17/T17</f>
        <v>1.4971209213051824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6">
        <v>15</v>
      </c>
      <c r="AG17" s="66">
        <v>3.9</v>
      </c>
      <c r="AH17" s="66">
        <f>AF17/AG17</f>
        <v>3.8461538461538463</v>
      </c>
    </row>
    <row r="18" spans="1:34" x14ac:dyDescent="0.4">
      <c r="A18" s="3"/>
      <c r="C18" s="2">
        <v>-15</v>
      </c>
      <c r="D18" s="2"/>
      <c r="E18" s="61"/>
      <c r="F18" s="7"/>
      <c r="G18" s="66">
        <v>9.4</v>
      </c>
      <c r="H18" s="66">
        <v>3.78</v>
      </c>
      <c r="I18" s="24"/>
      <c r="J18" s="24"/>
      <c r="K18" s="66">
        <f t="shared" si="4"/>
        <v>2.486772486772487</v>
      </c>
      <c r="L18" s="36"/>
      <c r="M18" s="6">
        <v>75</v>
      </c>
      <c r="N18" s="34"/>
      <c r="O18" s="2">
        <v>-15</v>
      </c>
      <c r="P18" s="34"/>
      <c r="Q18" s="24"/>
      <c r="R18" s="7"/>
      <c r="S18" s="66">
        <v>8.8000000000000007</v>
      </c>
      <c r="T18" s="66">
        <v>5.2</v>
      </c>
      <c r="U18" s="7"/>
      <c r="V18" s="24"/>
      <c r="W18" s="66">
        <f t="shared" si="5"/>
        <v>1.6923076923076923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6">
        <v>12</v>
      </c>
      <c r="AG18" s="66">
        <v>2.4</v>
      </c>
      <c r="AH18" s="66">
        <f>AF18/AG18</f>
        <v>5</v>
      </c>
    </row>
    <row r="19" spans="1:34" x14ac:dyDescent="0.4">
      <c r="A19" s="3"/>
      <c r="C19" s="2">
        <v>-10</v>
      </c>
      <c r="D19" s="2"/>
      <c r="E19" s="61"/>
      <c r="F19" s="7"/>
      <c r="G19" s="66"/>
      <c r="H19" s="66"/>
      <c r="I19" s="24"/>
      <c r="J19" s="24"/>
      <c r="K19" s="29" t="s">
        <v>61</v>
      </c>
      <c r="L19" s="36"/>
      <c r="M19" s="6">
        <v>75</v>
      </c>
      <c r="N19" s="34"/>
      <c r="O19" s="2">
        <v>-10</v>
      </c>
      <c r="P19" s="34"/>
      <c r="Q19" s="24"/>
      <c r="R19" s="7"/>
      <c r="S19" s="66"/>
      <c r="T19" s="66"/>
      <c r="U19" s="7"/>
      <c r="V19" s="24"/>
      <c r="W19" s="29" t="s">
        <v>61</v>
      </c>
      <c r="X19" s="34"/>
      <c r="Y19" s="36" t="s">
        <v>39</v>
      </c>
      <c r="Z19" s="66">
        <v>10</v>
      </c>
      <c r="AA19" s="66">
        <v>2.76</v>
      </c>
      <c r="AB19" s="66">
        <v>9.8000000000000007</v>
      </c>
      <c r="AC19" s="66">
        <v>1.83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61"/>
      <c r="F20" s="7"/>
      <c r="G20" s="66">
        <v>10.5</v>
      </c>
      <c r="H20" s="66">
        <v>3.5</v>
      </c>
      <c r="I20" s="24"/>
      <c r="J20" s="24"/>
      <c r="K20" s="66">
        <f>G20/H20</f>
        <v>3</v>
      </c>
      <c r="L20" s="36"/>
      <c r="M20" s="6">
        <v>75</v>
      </c>
      <c r="N20" s="34"/>
      <c r="O20" s="2">
        <v>-7</v>
      </c>
      <c r="P20" s="34"/>
      <c r="Q20" s="24"/>
      <c r="R20" s="7"/>
      <c r="S20" s="66">
        <v>10</v>
      </c>
      <c r="T20" s="66">
        <v>5.08</v>
      </c>
      <c r="U20" s="7"/>
      <c r="V20" s="24"/>
      <c r="W20" s="66">
        <f>S20/T20</f>
        <v>1.9685039370078741</v>
      </c>
      <c r="X20" s="34"/>
      <c r="Y20" s="5">
        <f>AA20*(1.029-(0.05*Z20/G22))</f>
        <v>2.9001124324324321</v>
      </c>
      <c r="Z20" s="66">
        <v>10.6</v>
      </c>
      <c r="AA20" s="66">
        <v>2.92</v>
      </c>
      <c r="AB20" s="66">
        <v>10</v>
      </c>
      <c r="AC20" s="66">
        <v>2.04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61"/>
      <c r="F21" s="7"/>
      <c r="G21" s="66">
        <v>12.5</v>
      </c>
      <c r="H21" s="66">
        <v>3.71</v>
      </c>
      <c r="I21" s="24"/>
      <c r="J21" s="24"/>
      <c r="K21" s="66">
        <f t="shared" ref="K21:K22" si="6">G21/H21</f>
        <v>3.3692722371967654</v>
      </c>
      <c r="L21" s="36"/>
      <c r="M21" s="6">
        <v>75</v>
      </c>
      <c r="N21" s="34"/>
      <c r="O21" s="2">
        <v>2</v>
      </c>
      <c r="P21" s="34"/>
      <c r="Q21" s="24"/>
      <c r="R21" s="7"/>
      <c r="S21" s="66">
        <v>12</v>
      </c>
      <c r="T21" s="66">
        <v>5.29</v>
      </c>
      <c r="U21" s="7"/>
      <c r="V21" s="24"/>
      <c r="W21" s="66">
        <f t="shared" ref="W21:W22" si="7">S21/T21</f>
        <v>2.2684310018903591</v>
      </c>
      <c r="X21" s="34"/>
      <c r="Y21" s="5">
        <f>AA21*(0.906-(0.044*Z21/G22))</f>
        <v>4.0698413513513518</v>
      </c>
      <c r="Z21" s="66">
        <v>6.5</v>
      </c>
      <c r="AA21" s="66">
        <v>4.59</v>
      </c>
      <c r="AB21" s="66">
        <v>6.5</v>
      </c>
      <c r="AC21" s="66">
        <v>3.56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61"/>
      <c r="F22" s="7"/>
      <c r="G22" s="66">
        <v>14.8</v>
      </c>
      <c r="H22" s="66">
        <v>3.14</v>
      </c>
      <c r="I22" s="24"/>
      <c r="J22" s="24"/>
      <c r="K22" s="66">
        <f t="shared" si="6"/>
        <v>4.7133757961783438</v>
      </c>
      <c r="L22" s="36"/>
      <c r="M22" s="6">
        <v>75</v>
      </c>
      <c r="N22" s="34"/>
      <c r="O22" s="2">
        <v>7</v>
      </c>
      <c r="P22" s="34"/>
      <c r="Q22" s="24"/>
      <c r="R22" s="7"/>
      <c r="S22" s="66">
        <v>14.1</v>
      </c>
      <c r="T22" s="66">
        <v>4.67</v>
      </c>
      <c r="U22" s="7"/>
      <c r="V22" s="24"/>
      <c r="W22" s="66">
        <f t="shared" si="7"/>
        <v>3.0192719486081372</v>
      </c>
      <c r="X22" s="34"/>
      <c r="Y22" s="5">
        <f>K22</f>
        <v>4.7133757961783438</v>
      </c>
      <c r="Z22" s="66">
        <v>4.8</v>
      </c>
      <c r="AA22" s="66">
        <v>5.98</v>
      </c>
      <c r="AB22" s="66">
        <v>4.7</v>
      </c>
      <c r="AC22" s="66">
        <v>4.5999999999999996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61"/>
      <c r="F23" s="24"/>
      <c r="G23" s="26" t="s">
        <v>61</v>
      </c>
      <c r="H23" s="26" t="s">
        <v>61</v>
      </c>
      <c r="I23" s="24"/>
      <c r="J23" s="24"/>
      <c r="K23" s="26" t="s">
        <v>61</v>
      </c>
      <c r="L23" s="36"/>
      <c r="M23" s="6">
        <v>75</v>
      </c>
      <c r="N23" s="34"/>
      <c r="O23" s="2">
        <v>12</v>
      </c>
      <c r="P23" s="34"/>
      <c r="Q23" s="24"/>
      <c r="R23" s="7"/>
      <c r="S23" s="68" t="s">
        <v>61</v>
      </c>
      <c r="T23" s="68" t="s">
        <v>61</v>
      </c>
      <c r="U23" s="7"/>
      <c r="V23" s="24"/>
      <c r="W23" s="26" t="s">
        <v>61</v>
      </c>
      <c r="X23" s="34"/>
      <c r="Y23" s="36"/>
      <c r="Z23" s="66">
        <v>5.5</v>
      </c>
      <c r="AA23" s="66">
        <v>7.54</v>
      </c>
      <c r="AB23" s="66">
        <v>5.2</v>
      </c>
      <c r="AC23" s="66">
        <v>5.52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30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 t="s">
        <v>137</v>
      </c>
      <c r="B25" s="1" t="s">
        <v>161</v>
      </c>
      <c r="C25" s="4"/>
      <c r="D25" s="2"/>
      <c r="E25" s="61"/>
      <c r="F25" s="24"/>
      <c r="G25" s="24"/>
      <c r="H25" s="24"/>
      <c r="I25" s="24"/>
      <c r="J25" s="24"/>
      <c r="K25" s="24"/>
      <c r="L25" s="36"/>
      <c r="M25" s="27"/>
      <c r="N25" s="34"/>
      <c r="O25" s="64"/>
      <c r="P25" s="34"/>
      <c r="Q25" s="24"/>
      <c r="R25" s="24"/>
      <c r="S25" s="24"/>
      <c r="T25" s="24"/>
      <c r="U25" s="24"/>
      <c r="V25" s="24"/>
      <c r="W25" s="24"/>
      <c r="X25" s="43">
        <v>3</v>
      </c>
      <c r="Y25" s="36"/>
      <c r="Z25" s="24"/>
      <c r="AA25" s="24"/>
      <c r="AB25" s="24"/>
      <c r="AC25" s="24"/>
      <c r="AD25" s="34"/>
      <c r="AE25" s="2" t="s">
        <v>37</v>
      </c>
      <c r="AF25" s="66">
        <v>12</v>
      </c>
      <c r="AG25" s="66">
        <v>3.7</v>
      </c>
      <c r="AH25" s="66">
        <f>AF25/AG25</f>
        <v>3.243243243243243</v>
      </c>
    </row>
    <row r="26" spans="1:34" x14ac:dyDescent="0.4">
      <c r="A26" s="3"/>
      <c r="C26" s="13">
        <v>-25</v>
      </c>
      <c r="D26" s="2"/>
      <c r="E26" s="61"/>
      <c r="F26" s="7"/>
      <c r="G26" s="66">
        <v>7.2</v>
      </c>
      <c r="H26" s="66">
        <v>3.85</v>
      </c>
      <c r="I26" s="7"/>
      <c r="J26" s="24"/>
      <c r="K26" s="66">
        <f>G26/H26</f>
        <v>1.8701298701298701</v>
      </c>
      <c r="L26" s="36"/>
      <c r="M26" s="6">
        <v>55</v>
      </c>
      <c r="N26" s="34"/>
      <c r="O26" s="2">
        <v>-25</v>
      </c>
      <c r="P26" s="34"/>
      <c r="Q26" s="24"/>
      <c r="R26" s="7"/>
      <c r="S26" s="66">
        <v>7.1</v>
      </c>
      <c r="T26" s="66">
        <v>5.68</v>
      </c>
      <c r="U26" s="7"/>
      <c r="V26" s="24"/>
      <c r="W26" s="66">
        <f>S26/T26</f>
        <v>1.25</v>
      </c>
      <c r="X26" s="34"/>
      <c r="Y26" s="36"/>
      <c r="Z26" s="24"/>
      <c r="AA26" s="24"/>
      <c r="AB26" s="24"/>
      <c r="AC26" s="24"/>
      <c r="AD26" s="34"/>
      <c r="AE26" s="2"/>
      <c r="AF26" s="7"/>
      <c r="AG26" s="7"/>
      <c r="AH26" s="7"/>
    </row>
    <row r="27" spans="1:34" x14ac:dyDescent="0.4">
      <c r="A27" s="46"/>
      <c r="C27" s="13">
        <v>-20</v>
      </c>
      <c r="D27" s="2"/>
      <c r="E27" s="61"/>
      <c r="F27" s="7"/>
      <c r="G27" s="66">
        <v>8.1</v>
      </c>
      <c r="H27" s="66">
        <v>3.85</v>
      </c>
      <c r="I27" s="7"/>
      <c r="J27" s="24"/>
      <c r="K27" s="66">
        <f t="shared" ref="K27:K28" si="8">G27/H27</f>
        <v>2.1038961038961039</v>
      </c>
      <c r="L27" s="36"/>
      <c r="M27" s="6">
        <v>65</v>
      </c>
      <c r="N27" s="34"/>
      <c r="O27" s="2">
        <v>-20</v>
      </c>
      <c r="P27" s="34"/>
      <c r="Q27" s="24"/>
      <c r="R27" s="7"/>
      <c r="S27" s="66">
        <v>7.8</v>
      </c>
      <c r="T27" s="66">
        <v>5.21</v>
      </c>
      <c r="U27" s="7"/>
      <c r="V27" s="24"/>
      <c r="W27" s="66">
        <f t="shared" ref="W27:W28" si="9">S27/T27</f>
        <v>1.4971209213051824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6">
        <v>15</v>
      </c>
      <c r="AG27" s="66">
        <v>3.9</v>
      </c>
      <c r="AH27" s="66">
        <f>AF27/AG27</f>
        <v>3.8461538461538463</v>
      </c>
    </row>
    <row r="28" spans="1:34" x14ac:dyDescent="0.4">
      <c r="A28" s="3"/>
      <c r="C28" s="2">
        <v>-15</v>
      </c>
      <c r="D28" s="2"/>
      <c r="E28" s="61"/>
      <c r="F28" s="7"/>
      <c r="G28" s="66">
        <v>9.4</v>
      </c>
      <c r="H28" s="66">
        <v>3.78</v>
      </c>
      <c r="I28" s="7"/>
      <c r="J28" s="24"/>
      <c r="K28" s="66">
        <f t="shared" si="8"/>
        <v>2.486772486772487</v>
      </c>
      <c r="L28" s="36"/>
      <c r="M28" s="6">
        <v>75</v>
      </c>
      <c r="N28" s="34"/>
      <c r="O28" s="2">
        <v>-15</v>
      </c>
      <c r="P28" s="34"/>
      <c r="Q28" s="24"/>
      <c r="R28" s="7"/>
      <c r="S28" s="66">
        <v>8.8000000000000007</v>
      </c>
      <c r="T28" s="66">
        <v>5.2</v>
      </c>
      <c r="U28" s="7"/>
      <c r="V28" s="24"/>
      <c r="W28" s="66">
        <f t="shared" si="9"/>
        <v>1.6923076923076923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6">
        <v>12</v>
      </c>
      <c r="AG28" s="66">
        <v>2.4</v>
      </c>
      <c r="AH28" s="66">
        <f>AF28/AG28</f>
        <v>5</v>
      </c>
    </row>
    <row r="29" spans="1:34" x14ac:dyDescent="0.4">
      <c r="A29" s="3"/>
      <c r="C29" s="2">
        <v>-10</v>
      </c>
      <c r="D29" s="2"/>
      <c r="E29" s="61"/>
      <c r="F29" s="7"/>
      <c r="G29" s="66"/>
      <c r="H29" s="66"/>
      <c r="I29" s="7"/>
      <c r="J29" s="24"/>
      <c r="K29" s="29" t="s">
        <v>61</v>
      </c>
      <c r="L29" s="36"/>
      <c r="M29" s="6">
        <v>75</v>
      </c>
      <c r="N29" s="34"/>
      <c r="O29" s="2">
        <v>-10</v>
      </c>
      <c r="P29" s="34"/>
      <c r="Q29" s="24"/>
      <c r="R29" s="7"/>
      <c r="S29" s="66"/>
      <c r="T29" s="66"/>
      <c r="U29" s="7"/>
      <c r="V29" s="24"/>
      <c r="W29" s="29" t="s">
        <v>61</v>
      </c>
      <c r="X29" s="34"/>
      <c r="Y29" s="36" t="s">
        <v>39</v>
      </c>
      <c r="Z29" s="66">
        <v>10</v>
      </c>
      <c r="AA29" s="66">
        <v>2.76</v>
      </c>
      <c r="AB29" s="66">
        <v>9.8000000000000007</v>
      </c>
      <c r="AC29" s="66">
        <v>1.83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61"/>
      <c r="F30" s="7"/>
      <c r="G30" s="66">
        <v>10.5</v>
      </c>
      <c r="H30" s="66">
        <v>3.5</v>
      </c>
      <c r="I30" s="7"/>
      <c r="J30" s="24"/>
      <c r="K30" s="66">
        <f>G30/H30</f>
        <v>3</v>
      </c>
      <c r="L30" s="36"/>
      <c r="M30" s="6">
        <v>75</v>
      </c>
      <c r="N30" s="34"/>
      <c r="O30" s="2">
        <v>-7</v>
      </c>
      <c r="P30" s="34"/>
      <c r="Q30" s="24"/>
      <c r="R30" s="7"/>
      <c r="S30" s="66">
        <v>10</v>
      </c>
      <c r="T30" s="66">
        <v>5.08</v>
      </c>
      <c r="U30" s="7"/>
      <c r="V30" s="24"/>
      <c r="W30" s="66">
        <f>S30/T30</f>
        <v>1.9685039370078741</v>
      </c>
      <c r="X30" s="34"/>
      <c r="Y30" s="5">
        <f>AA30*(1.029-(0.05*Z30/G32))</f>
        <v>2.9001124324324321</v>
      </c>
      <c r="Z30" s="66">
        <v>10.6</v>
      </c>
      <c r="AA30" s="66">
        <v>2.92</v>
      </c>
      <c r="AB30" s="66">
        <v>10</v>
      </c>
      <c r="AC30" s="66">
        <v>2.04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61"/>
      <c r="F31" s="7"/>
      <c r="G31" s="66">
        <v>12.5</v>
      </c>
      <c r="H31" s="66">
        <v>3.71</v>
      </c>
      <c r="I31" s="7"/>
      <c r="J31" s="24"/>
      <c r="K31" s="66">
        <f t="shared" ref="K31:K32" si="10">G31/H31</f>
        <v>3.3692722371967654</v>
      </c>
      <c r="L31" s="36"/>
      <c r="M31" s="6">
        <v>75</v>
      </c>
      <c r="N31" s="34"/>
      <c r="O31" s="2">
        <v>2</v>
      </c>
      <c r="P31" s="34"/>
      <c r="Q31" s="24"/>
      <c r="R31" s="7"/>
      <c r="S31" s="66">
        <v>12</v>
      </c>
      <c r="T31" s="66">
        <v>5.29</v>
      </c>
      <c r="U31" s="7"/>
      <c r="V31" s="24"/>
      <c r="W31" s="66">
        <f t="shared" ref="W31:W32" si="11">S31/T31</f>
        <v>2.2684310018903591</v>
      </c>
      <c r="X31" s="34"/>
      <c r="Y31" s="5">
        <f>AA31*(0.906-(0.044*Z31/G32))</f>
        <v>4.0698413513513518</v>
      </c>
      <c r="Z31" s="66">
        <v>6.5</v>
      </c>
      <c r="AA31" s="66">
        <v>4.59</v>
      </c>
      <c r="AB31" s="66">
        <v>6.5</v>
      </c>
      <c r="AC31" s="66">
        <v>3.56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61"/>
      <c r="F32" s="7"/>
      <c r="G32" s="66">
        <v>14.8</v>
      </c>
      <c r="H32" s="66">
        <v>3.14</v>
      </c>
      <c r="I32" s="7"/>
      <c r="J32" s="24"/>
      <c r="K32" s="66">
        <f t="shared" si="10"/>
        <v>4.7133757961783438</v>
      </c>
      <c r="L32" s="36"/>
      <c r="M32" s="6">
        <v>75</v>
      </c>
      <c r="N32" s="34"/>
      <c r="O32" s="2">
        <v>7</v>
      </c>
      <c r="P32" s="34"/>
      <c r="Q32" s="24"/>
      <c r="R32" s="7"/>
      <c r="S32" s="66">
        <v>14.1</v>
      </c>
      <c r="T32" s="66">
        <v>4.67</v>
      </c>
      <c r="U32" s="7"/>
      <c r="V32" s="24"/>
      <c r="W32" s="66">
        <f t="shared" si="11"/>
        <v>3.0192719486081372</v>
      </c>
      <c r="X32" s="34"/>
      <c r="Y32" s="5">
        <f>K32</f>
        <v>4.7133757961783438</v>
      </c>
      <c r="Z32" s="66">
        <v>4.8</v>
      </c>
      <c r="AA32" s="66">
        <v>5.98</v>
      </c>
      <c r="AB32" s="66">
        <v>4.7</v>
      </c>
      <c r="AC32" s="66">
        <v>4.5999999999999996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61"/>
      <c r="F33" s="24"/>
      <c r="G33" s="26" t="s">
        <v>61</v>
      </c>
      <c r="H33" s="26" t="s">
        <v>61</v>
      </c>
      <c r="I33" s="24"/>
      <c r="J33" s="24"/>
      <c r="K33" s="26" t="s">
        <v>61</v>
      </c>
      <c r="L33" s="36"/>
      <c r="M33" s="6">
        <v>75</v>
      </c>
      <c r="N33" s="34"/>
      <c r="O33" s="2">
        <v>12</v>
      </c>
      <c r="P33" s="34"/>
      <c r="Q33" s="24"/>
      <c r="R33" s="7"/>
      <c r="S33" s="68" t="s">
        <v>61</v>
      </c>
      <c r="T33" s="68" t="s">
        <v>61</v>
      </c>
      <c r="U33" s="24"/>
      <c r="V33" s="24"/>
      <c r="W33" s="26" t="s">
        <v>61</v>
      </c>
      <c r="X33" s="34"/>
      <c r="Y33" s="36"/>
      <c r="Z33" s="66">
        <v>5.5</v>
      </c>
      <c r="AA33" s="66">
        <v>7.54</v>
      </c>
      <c r="AB33" s="66">
        <v>5.2</v>
      </c>
      <c r="AC33" s="66">
        <v>5.52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30"/>
      <c r="F34" s="30"/>
      <c r="G34" s="31"/>
      <c r="H34" s="31"/>
      <c r="I34" s="31"/>
      <c r="J34" s="31"/>
      <c r="K34" s="31"/>
      <c r="L34" s="30"/>
      <c r="M34" s="30"/>
      <c r="N34" s="30"/>
      <c r="O34" s="9"/>
      <c r="P34" s="30"/>
      <c r="Q34" s="30"/>
      <c r="R34" s="31"/>
      <c r="S34" s="31"/>
      <c r="T34" s="31"/>
      <c r="U34" s="31"/>
      <c r="V34" s="31"/>
      <c r="W34" s="31"/>
      <c r="X34" s="30"/>
      <c r="Y34" s="31"/>
      <c r="Z34" s="31"/>
      <c r="AA34" s="31"/>
      <c r="AB34" s="31"/>
      <c r="AC34" s="31"/>
      <c r="AD34" s="30"/>
      <c r="AE34" s="9"/>
      <c r="AF34" s="30"/>
      <c r="AG34" s="30"/>
      <c r="AH34" s="30"/>
    </row>
    <row r="35" spans="1:34" x14ac:dyDescent="0.4">
      <c r="A35" s="3" t="s">
        <v>141</v>
      </c>
      <c r="B35" s="1" t="s">
        <v>161</v>
      </c>
      <c r="C35" s="4"/>
      <c r="D35" s="2"/>
      <c r="E35" s="61"/>
      <c r="F35" s="24"/>
      <c r="G35" s="24"/>
      <c r="H35" s="24"/>
      <c r="I35" s="24"/>
      <c r="J35" s="24"/>
      <c r="K35" s="24"/>
      <c r="L35" s="36"/>
      <c r="M35" s="27"/>
      <c r="N35" s="34"/>
      <c r="O35" s="64"/>
      <c r="P35" s="34"/>
      <c r="Q35" s="24"/>
      <c r="R35" s="24"/>
      <c r="S35" s="24"/>
      <c r="T35" s="24"/>
      <c r="U35" s="24"/>
      <c r="V35" s="24"/>
      <c r="W35" s="24"/>
      <c r="X35" s="43">
        <v>3</v>
      </c>
      <c r="Y35" s="36"/>
      <c r="Z35" s="24"/>
      <c r="AA35" s="24"/>
      <c r="AB35" s="24"/>
      <c r="AC35" s="24"/>
      <c r="AD35" s="34"/>
      <c r="AE35" s="2" t="s">
        <v>37</v>
      </c>
      <c r="AF35" s="66">
        <v>12</v>
      </c>
      <c r="AG35" s="66">
        <v>3.7</v>
      </c>
      <c r="AH35" s="66">
        <f>AF35/AG35</f>
        <v>3.243243243243243</v>
      </c>
    </row>
    <row r="36" spans="1:34" x14ac:dyDescent="0.4">
      <c r="A36" s="3"/>
      <c r="C36" s="13">
        <v>-25</v>
      </c>
      <c r="D36" s="2"/>
      <c r="E36" s="61"/>
      <c r="F36" s="7"/>
      <c r="G36" s="66">
        <v>7.2</v>
      </c>
      <c r="H36" s="66">
        <v>3.85</v>
      </c>
      <c r="I36" s="7"/>
      <c r="J36" s="24"/>
      <c r="K36" s="66">
        <f>G36/H36</f>
        <v>1.8701298701298701</v>
      </c>
      <c r="L36" s="36"/>
      <c r="M36" s="6">
        <v>55</v>
      </c>
      <c r="N36" s="34"/>
      <c r="O36" s="2">
        <v>-25</v>
      </c>
      <c r="P36" s="34"/>
      <c r="Q36" s="24"/>
      <c r="R36" s="7"/>
      <c r="S36" s="66">
        <v>7.1</v>
      </c>
      <c r="T36" s="66">
        <v>5.68</v>
      </c>
      <c r="U36" s="7"/>
      <c r="V36" s="24"/>
      <c r="W36" s="66">
        <f>S36/T36</f>
        <v>1.25</v>
      </c>
      <c r="X36" s="34"/>
      <c r="Y36" s="36"/>
      <c r="Z36" s="24"/>
      <c r="AA36" s="24"/>
      <c r="AB36" s="24"/>
      <c r="AC36" s="24"/>
      <c r="AD36" s="34"/>
      <c r="AE36" s="2"/>
      <c r="AF36" s="7"/>
      <c r="AG36" s="7"/>
      <c r="AH36" s="7"/>
    </row>
    <row r="37" spans="1:34" x14ac:dyDescent="0.4">
      <c r="A37" s="46"/>
      <c r="C37" s="13">
        <v>-20</v>
      </c>
      <c r="D37" s="2"/>
      <c r="E37" s="61"/>
      <c r="F37" s="7"/>
      <c r="G37" s="66">
        <v>8.1</v>
      </c>
      <c r="H37" s="66">
        <v>3.85</v>
      </c>
      <c r="I37" s="7"/>
      <c r="J37" s="24"/>
      <c r="K37" s="66">
        <f t="shared" ref="K37:K38" si="12">G37/H37</f>
        <v>2.1038961038961039</v>
      </c>
      <c r="L37" s="36"/>
      <c r="M37" s="6">
        <v>65</v>
      </c>
      <c r="N37" s="34"/>
      <c r="O37" s="2">
        <v>-20</v>
      </c>
      <c r="P37" s="34"/>
      <c r="Q37" s="24"/>
      <c r="R37" s="7"/>
      <c r="S37" s="66">
        <v>7.8</v>
      </c>
      <c r="T37" s="66">
        <v>5.21</v>
      </c>
      <c r="U37" s="7"/>
      <c r="V37" s="24"/>
      <c r="W37" s="66">
        <f t="shared" ref="W37:W38" si="13">S37/T37</f>
        <v>1.4971209213051824</v>
      </c>
      <c r="X37" s="34"/>
      <c r="Y37" s="36"/>
      <c r="Z37" s="24"/>
      <c r="AA37" s="24"/>
      <c r="AB37" s="24"/>
      <c r="AC37" s="24"/>
      <c r="AD37" s="34"/>
      <c r="AE37" s="2" t="s">
        <v>38</v>
      </c>
      <c r="AF37" s="66">
        <v>15</v>
      </c>
      <c r="AG37" s="66">
        <v>3.9</v>
      </c>
      <c r="AH37" s="66">
        <f>AF37/AG37</f>
        <v>3.8461538461538463</v>
      </c>
    </row>
    <row r="38" spans="1:34" x14ac:dyDescent="0.4">
      <c r="A38" s="3"/>
      <c r="C38" s="2">
        <v>-15</v>
      </c>
      <c r="D38" s="2"/>
      <c r="E38" s="61"/>
      <c r="F38" s="7"/>
      <c r="G38" s="66">
        <v>9.4</v>
      </c>
      <c r="H38" s="66">
        <v>3.78</v>
      </c>
      <c r="I38" s="7"/>
      <c r="J38" s="24"/>
      <c r="K38" s="66">
        <f t="shared" si="12"/>
        <v>2.486772486772487</v>
      </c>
      <c r="L38" s="36"/>
      <c r="M38" s="6">
        <v>75</v>
      </c>
      <c r="N38" s="34"/>
      <c r="O38" s="2">
        <v>-15</v>
      </c>
      <c r="P38" s="34"/>
      <c r="Q38" s="24"/>
      <c r="R38" s="7"/>
      <c r="S38" s="66">
        <v>8.8000000000000007</v>
      </c>
      <c r="T38" s="66">
        <v>5.2</v>
      </c>
      <c r="U38" s="7"/>
      <c r="V38" s="24"/>
      <c r="W38" s="66">
        <f t="shared" si="13"/>
        <v>1.6923076923076923</v>
      </c>
      <c r="X38" s="34"/>
      <c r="Y38" s="36"/>
      <c r="Z38" s="24"/>
      <c r="AA38" s="24"/>
      <c r="AB38" s="24"/>
      <c r="AC38" s="24"/>
      <c r="AD38" s="34"/>
      <c r="AE38" s="2" t="s">
        <v>40</v>
      </c>
      <c r="AF38" s="66">
        <v>12</v>
      </c>
      <c r="AG38" s="66">
        <v>2.4</v>
      </c>
      <c r="AH38" s="66">
        <f>AF38/AG38</f>
        <v>5</v>
      </c>
    </row>
    <row r="39" spans="1:34" x14ac:dyDescent="0.4">
      <c r="A39" s="3"/>
      <c r="C39" s="2">
        <v>-10</v>
      </c>
      <c r="D39" s="2"/>
      <c r="E39" s="61"/>
      <c r="F39" s="7"/>
      <c r="G39" s="66"/>
      <c r="H39" s="66"/>
      <c r="I39" s="7"/>
      <c r="J39" s="24"/>
      <c r="K39" s="29" t="s">
        <v>61</v>
      </c>
      <c r="L39" s="36"/>
      <c r="M39" s="6">
        <v>75</v>
      </c>
      <c r="N39" s="34"/>
      <c r="O39" s="2">
        <v>-10</v>
      </c>
      <c r="P39" s="34"/>
      <c r="Q39" s="24"/>
      <c r="R39" s="7"/>
      <c r="S39" s="66"/>
      <c r="T39" s="66"/>
      <c r="U39" s="7"/>
      <c r="V39" s="24"/>
      <c r="W39" s="29" t="s">
        <v>61</v>
      </c>
      <c r="X39" s="34"/>
      <c r="Y39" s="36" t="s">
        <v>39</v>
      </c>
      <c r="Z39" s="66">
        <v>10</v>
      </c>
      <c r="AA39" s="66">
        <v>2.76</v>
      </c>
      <c r="AB39" s="66">
        <v>9.8000000000000007</v>
      </c>
      <c r="AC39" s="66">
        <v>1.83</v>
      </c>
      <c r="AD39" s="34"/>
      <c r="AF39" s="33"/>
      <c r="AG39" s="33"/>
      <c r="AH39" s="33"/>
    </row>
    <row r="40" spans="1:34" x14ac:dyDescent="0.4">
      <c r="A40" s="3"/>
      <c r="C40" s="2">
        <v>-7</v>
      </c>
      <c r="D40" s="2"/>
      <c r="E40" s="61"/>
      <c r="F40" s="7"/>
      <c r="G40" s="66">
        <v>10.5</v>
      </c>
      <c r="H40" s="66">
        <v>3.5</v>
      </c>
      <c r="I40" s="7"/>
      <c r="J40" s="24"/>
      <c r="K40" s="66">
        <f>G40/H40</f>
        <v>3</v>
      </c>
      <c r="L40" s="36"/>
      <c r="M40" s="6">
        <v>75</v>
      </c>
      <c r="N40" s="34"/>
      <c r="O40" s="2">
        <v>-7</v>
      </c>
      <c r="P40" s="34"/>
      <c r="Q40" s="24"/>
      <c r="R40" s="7"/>
      <c r="S40" s="66">
        <v>10</v>
      </c>
      <c r="T40" s="66">
        <v>5.08</v>
      </c>
      <c r="U40" s="7"/>
      <c r="V40" s="24"/>
      <c r="W40" s="66">
        <f>S40/T40</f>
        <v>1.9685039370078741</v>
      </c>
      <c r="X40" s="34"/>
      <c r="Y40" s="5">
        <f>AA40*(1.029-(0.05*Z40/G42))</f>
        <v>2.9001124324324321</v>
      </c>
      <c r="Z40" s="66">
        <v>10.6</v>
      </c>
      <c r="AA40" s="66">
        <v>2.92</v>
      </c>
      <c r="AB40" s="66">
        <v>10</v>
      </c>
      <c r="AC40" s="66">
        <v>2.04</v>
      </c>
      <c r="AD40" s="34"/>
      <c r="AE40" s="2"/>
      <c r="AF40" s="34"/>
      <c r="AG40" s="34"/>
      <c r="AH40" s="33"/>
    </row>
    <row r="41" spans="1:34" x14ac:dyDescent="0.4">
      <c r="A41" s="3"/>
      <c r="C41" s="2">
        <v>2</v>
      </c>
      <c r="D41" s="2"/>
      <c r="E41" s="61"/>
      <c r="F41" s="7"/>
      <c r="G41" s="66">
        <v>12.5</v>
      </c>
      <c r="H41" s="66">
        <v>3.71</v>
      </c>
      <c r="I41" s="7"/>
      <c r="J41" s="24"/>
      <c r="K41" s="66">
        <f t="shared" ref="K41:K42" si="14">G41/H41</f>
        <v>3.3692722371967654</v>
      </c>
      <c r="L41" s="36"/>
      <c r="M41" s="6">
        <v>75</v>
      </c>
      <c r="N41" s="34"/>
      <c r="O41" s="2">
        <v>2</v>
      </c>
      <c r="P41" s="34"/>
      <c r="Q41" s="24"/>
      <c r="R41" s="7"/>
      <c r="S41" s="66">
        <v>12</v>
      </c>
      <c r="T41" s="66">
        <v>5.29</v>
      </c>
      <c r="U41" s="7"/>
      <c r="V41" s="24"/>
      <c r="W41" s="66">
        <f t="shared" ref="W41:W42" si="15">S41/T41</f>
        <v>2.2684310018903591</v>
      </c>
      <c r="X41" s="34"/>
      <c r="Y41" s="5">
        <f>AA41*(0.906-(0.044*Z41/G42))</f>
        <v>4.0698413513513518</v>
      </c>
      <c r="Z41" s="66">
        <v>6.5</v>
      </c>
      <c r="AA41" s="66">
        <v>4.59</v>
      </c>
      <c r="AB41" s="66">
        <v>6.5</v>
      </c>
      <c r="AC41" s="66">
        <v>3.56</v>
      </c>
      <c r="AD41" s="34"/>
      <c r="AE41" s="2"/>
      <c r="AF41" s="34"/>
      <c r="AG41" s="34"/>
      <c r="AH41" s="33"/>
    </row>
    <row r="42" spans="1:34" x14ac:dyDescent="0.4">
      <c r="A42" s="3"/>
      <c r="C42" s="2">
        <v>7</v>
      </c>
      <c r="D42" s="2"/>
      <c r="E42" s="61"/>
      <c r="F42" s="7"/>
      <c r="G42" s="66">
        <v>14.8</v>
      </c>
      <c r="H42" s="66">
        <v>3.14</v>
      </c>
      <c r="I42" s="7"/>
      <c r="J42" s="24"/>
      <c r="K42" s="66">
        <f t="shared" si="14"/>
        <v>4.7133757961783438</v>
      </c>
      <c r="L42" s="36"/>
      <c r="M42" s="6">
        <v>75</v>
      </c>
      <c r="N42" s="34"/>
      <c r="O42" s="2">
        <v>7</v>
      </c>
      <c r="P42" s="34"/>
      <c r="Q42" s="24"/>
      <c r="R42" s="7"/>
      <c r="S42" s="66">
        <v>14.1</v>
      </c>
      <c r="T42" s="66">
        <v>4.67</v>
      </c>
      <c r="U42" s="7"/>
      <c r="V42" s="24"/>
      <c r="W42" s="66">
        <f t="shared" si="15"/>
        <v>3.0192719486081372</v>
      </c>
      <c r="X42" s="34"/>
      <c r="Y42" s="5">
        <f>K42</f>
        <v>4.7133757961783438</v>
      </c>
      <c r="Z42" s="66">
        <v>4.8</v>
      </c>
      <c r="AA42" s="66">
        <v>5.98</v>
      </c>
      <c r="AB42" s="66">
        <v>4.7</v>
      </c>
      <c r="AC42" s="66">
        <v>4.5999999999999996</v>
      </c>
      <c r="AD42" s="34"/>
      <c r="AE42" s="2"/>
      <c r="AF42" s="34"/>
      <c r="AG42" s="34"/>
      <c r="AH42" s="33"/>
    </row>
    <row r="43" spans="1:34" x14ac:dyDescent="0.4">
      <c r="A43" s="3"/>
      <c r="C43" s="2">
        <v>12</v>
      </c>
      <c r="D43" s="2"/>
      <c r="E43" s="61"/>
      <c r="F43" s="24"/>
      <c r="G43" s="26" t="s">
        <v>61</v>
      </c>
      <c r="H43" s="26" t="s">
        <v>61</v>
      </c>
      <c r="I43" s="24"/>
      <c r="J43" s="24"/>
      <c r="K43" s="26" t="s">
        <v>61</v>
      </c>
      <c r="L43" s="36"/>
      <c r="M43" s="6">
        <v>75</v>
      </c>
      <c r="N43" s="34"/>
      <c r="O43" s="2">
        <v>12</v>
      </c>
      <c r="P43" s="34"/>
      <c r="Q43" s="24"/>
      <c r="R43" s="24"/>
      <c r="S43" s="26" t="s">
        <v>61</v>
      </c>
      <c r="T43" s="26" t="s">
        <v>61</v>
      </c>
      <c r="U43" s="24"/>
      <c r="V43" s="24"/>
      <c r="W43" s="26" t="s">
        <v>61</v>
      </c>
      <c r="X43" s="34"/>
      <c r="Y43" s="36"/>
      <c r="Z43" s="66">
        <v>5.5</v>
      </c>
      <c r="AA43" s="66">
        <v>7.54</v>
      </c>
      <c r="AB43" s="66">
        <v>5.2</v>
      </c>
      <c r="AC43" s="66">
        <v>5.52</v>
      </c>
      <c r="AD43" s="34"/>
      <c r="AE43" s="2"/>
      <c r="AF43" s="34"/>
      <c r="AG43" s="34"/>
      <c r="AH43" s="33"/>
    </row>
    <row r="44" spans="1:34" x14ac:dyDescent="0.4">
      <c r="A44" s="8"/>
      <c r="B44" s="8"/>
      <c r="C44" s="9"/>
      <c r="D44" s="9"/>
      <c r="E44" s="30"/>
      <c r="F44" s="30"/>
      <c r="G44" s="31"/>
      <c r="H44" s="31"/>
      <c r="I44" s="31"/>
      <c r="J44" s="31"/>
      <c r="K44" s="31"/>
      <c r="L44" s="30"/>
      <c r="M44" s="30"/>
      <c r="N44" s="30"/>
      <c r="O44" s="9"/>
      <c r="P44" s="30"/>
      <c r="Q44" s="30"/>
      <c r="R44" s="31"/>
      <c r="S44" s="31"/>
      <c r="T44" s="31"/>
      <c r="U44" s="31"/>
      <c r="V44" s="31"/>
      <c r="W44" s="31"/>
      <c r="X44" s="30"/>
      <c r="Y44" s="31"/>
      <c r="Z44" s="31"/>
      <c r="AA44" s="31"/>
      <c r="AB44" s="31"/>
      <c r="AC44" s="31"/>
      <c r="AD44" s="30"/>
      <c r="AE44" s="9"/>
      <c r="AF44" s="30"/>
      <c r="AG44" s="30"/>
      <c r="AH44" s="30"/>
    </row>
    <row r="45" spans="1:34" x14ac:dyDescent="0.4">
      <c r="A45" s="3" t="s">
        <v>136</v>
      </c>
      <c r="B45" s="1" t="s">
        <v>162</v>
      </c>
      <c r="C45" s="4"/>
      <c r="D45" s="2"/>
      <c r="E45" s="24"/>
      <c r="F45" s="24"/>
      <c r="G45" s="24"/>
      <c r="H45" s="24"/>
      <c r="I45" s="24"/>
      <c r="J45" s="24"/>
      <c r="K45" s="24"/>
      <c r="L45" s="36"/>
      <c r="M45" s="27"/>
      <c r="N45" s="34"/>
      <c r="O45" s="64"/>
      <c r="P45" s="34"/>
      <c r="Q45" s="24"/>
      <c r="R45" s="24"/>
      <c r="S45" s="24"/>
      <c r="T45" s="24"/>
      <c r="U45" s="24"/>
      <c r="V45" s="24"/>
      <c r="W45" s="24"/>
      <c r="X45" s="4">
        <v>3</v>
      </c>
      <c r="Y45" s="36"/>
      <c r="Z45" s="24"/>
      <c r="AA45" s="24"/>
      <c r="AB45" s="24"/>
      <c r="AC45" s="24"/>
      <c r="AD45" s="34"/>
      <c r="AE45" s="2" t="s">
        <v>37</v>
      </c>
      <c r="AF45" s="66">
        <v>14</v>
      </c>
      <c r="AG45" s="66">
        <v>4.38</v>
      </c>
      <c r="AH45" s="66">
        <f>AF45/AG45</f>
        <v>3.1963470319634704</v>
      </c>
    </row>
    <row r="46" spans="1:34" x14ac:dyDescent="0.4">
      <c r="A46" s="3"/>
      <c r="C46" s="13">
        <v>-25</v>
      </c>
      <c r="D46" s="2"/>
      <c r="E46" s="24"/>
      <c r="F46" s="24"/>
      <c r="G46" s="66">
        <v>8.3000000000000007</v>
      </c>
      <c r="H46" s="66">
        <v>4.68</v>
      </c>
      <c r="I46" s="24"/>
      <c r="J46" s="24"/>
      <c r="K46" s="66">
        <f>G46/H46</f>
        <v>1.7735042735042739</v>
      </c>
      <c r="L46" s="36"/>
      <c r="M46" s="6">
        <v>55</v>
      </c>
      <c r="N46" s="34"/>
      <c r="O46" s="2">
        <v>-25</v>
      </c>
      <c r="P46" s="34"/>
      <c r="Q46" s="24"/>
      <c r="R46" s="7"/>
      <c r="S46" s="66">
        <v>7.15</v>
      </c>
      <c r="T46" s="66">
        <v>5.7</v>
      </c>
      <c r="U46" s="24"/>
      <c r="V46" s="24"/>
      <c r="W46" s="66">
        <f>S46/T46</f>
        <v>1.2543859649122808</v>
      </c>
      <c r="X46" s="34"/>
      <c r="Y46" s="36"/>
      <c r="Z46" s="24"/>
      <c r="AA46" s="24"/>
      <c r="AB46" s="24"/>
      <c r="AC46" s="24"/>
      <c r="AD46" s="34"/>
      <c r="AE46" s="2"/>
      <c r="AF46" s="7"/>
      <c r="AG46" s="7"/>
      <c r="AH46" s="7"/>
    </row>
    <row r="47" spans="1:34" x14ac:dyDescent="0.4">
      <c r="A47" s="46"/>
      <c r="C47" s="13">
        <v>-20</v>
      </c>
      <c r="D47" s="2"/>
      <c r="E47" s="24"/>
      <c r="F47" s="24"/>
      <c r="G47" s="66">
        <v>9</v>
      </c>
      <c r="H47" s="66">
        <v>4.3600000000000003</v>
      </c>
      <c r="I47" s="24"/>
      <c r="J47" s="24"/>
      <c r="K47" s="66">
        <f t="shared" ref="K47:K52" si="16">G47/H47</f>
        <v>2.0642201834862384</v>
      </c>
      <c r="L47" s="36"/>
      <c r="M47" s="6">
        <v>65</v>
      </c>
      <c r="N47" s="34"/>
      <c r="O47" s="2">
        <v>-20</v>
      </c>
      <c r="P47" s="34"/>
      <c r="Q47" s="24"/>
      <c r="R47" s="7"/>
      <c r="S47" s="66">
        <v>8.1999999999999993</v>
      </c>
      <c r="T47" s="66">
        <v>5.57</v>
      </c>
      <c r="U47" s="24"/>
      <c r="V47" s="24"/>
      <c r="W47" s="66">
        <f t="shared" ref="W47:W52" si="17">S47/T47</f>
        <v>1.4721723518850987</v>
      </c>
      <c r="X47" s="34"/>
      <c r="Y47" s="36"/>
      <c r="Z47" s="24"/>
      <c r="AA47" s="24"/>
      <c r="AB47" s="24"/>
      <c r="AC47" s="24"/>
      <c r="AD47" s="34"/>
      <c r="AE47" s="2" t="s">
        <v>38</v>
      </c>
      <c r="AF47" s="66">
        <v>17</v>
      </c>
      <c r="AG47" s="66">
        <v>4.5199999999999996</v>
      </c>
      <c r="AH47" s="66">
        <f>AF47/AG47</f>
        <v>3.7610619469026552</v>
      </c>
    </row>
    <row r="48" spans="1:34" x14ac:dyDescent="0.4">
      <c r="A48" s="3"/>
      <c r="C48" s="2">
        <v>-15</v>
      </c>
      <c r="D48" s="2"/>
      <c r="E48" s="24"/>
      <c r="F48" s="24"/>
      <c r="G48" s="66">
        <v>10.5</v>
      </c>
      <c r="H48" s="66">
        <v>4.38</v>
      </c>
      <c r="I48" s="24"/>
      <c r="J48" s="24"/>
      <c r="K48" s="66">
        <f t="shared" si="16"/>
        <v>2.397260273972603</v>
      </c>
      <c r="L48" s="36"/>
      <c r="M48" s="6">
        <v>75</v>
      </c>
      <c r="N48" s="34"/>
      <c r="O48" s="2">
        <v>-15</v>
      </c>
      <c r="P48" s="34"/>
      <c r="Q48" s="24"/>
      <c r="R48" s="7"/>
      <c r="S48" s="66">
        <v>9.3000000000000007</v>
      </c>
      <c r="T48" s="66">
        <v>5.57</v>
      </c>
      <c r="U48" s="24"/>
      <c r="V48" s="24"/>
      <c r="W48" s="66">
        <f t="shared" si="17"/>
        <v>1.6696588868940754</v>
      </c>
      <c r="X48" s="34"/>
      <c r="Y48" s="36"/>
      <c r="Z48" s="24"/>
      <c r="AA48" s="24"/>
      <c r="AB48" s="24"/>
      <c r="AC48" s="24"/>
      <c r="AD48" s="34"/>
      <c r="AE48" s="2" t="s">
        <v>40</v>
      </c>
      <c r="AF48" s="66">
        <v>15.5</v>
      </c>
      <c r="AG48" s="66">
        <v>3.27</v>
      </c>
      <c r="AH48" s="66">
        <f>AF48/AG48</f>
        <v>4.7400611620795106</v>
      </c>
    </row>
    <row r="49" spans="1:34" x14ac:dyDescent="0.4">
      <c r="A49" s="3"/>
      <c r="C49" s="2">
        <v>-10</v>
      </c>
      <c r="D49" s="2"/>
      <c r="E49" s="24"/>
      <c r="F49" s="24"/>
      <c r="G49" s="66"/>
      <c r="H49" s="66"/>
      <c r="I49" s="24"/>
      <c r="J49" s="24"/>
      <c r="K49" s="66"/>
      <c r="L49" s="36"/>
      <c r="M49" s="6">
        <v>75</v>
      </c>
      <c r="N49" s="34"/>
      <c r="O49" s="2">
        <v>-10</v>
      </c>
      <c r="P49" s="34"/>
      <c r="Q49" s="24"/>
      <c r="R49" s="7"/>
      <c r="S49" s="66"/>
      <c r="T49" s="66"/>
      <c r="U49" s="24"/>
      <c r="V49" s="24"/>
      <c r="W49" s="66"/>
      <c r="X49" s="34"/>
      <c r="Y49" s="17" t="s">
        <v>39</v>
      </c>
      <c r="Z49" s="66">
        <v>11.2</v>
      </c>
      <c r="AA49" s="66">
        <v>2.83</v>
      </c>
      <c r="AB49" s="66">
        <v>10</v>
      </c>
      <c r="AC49" s="66">
        <v>1.92</v>
      </c>
      <c r="AD49" s="34"/>
      <c r="AF49" s="33"/>
      <c r="AG49" s="33"/>
      <c r="AH49" s="33"/>
    </row>
    <row r="50" spans="1:34" x14ac:dyDescent="0.4">
      <c r="A50" s="3"/>
      <c r="C50" s="2">
        <v>-7</v>
      </c>
      <c r="D50" s="2"/>
      <c r="E50" s="24"/>
      <c r="F50" s="24"/>
      <c r="G50" s="66">
        <v>11.7</v>
      </c>
      <c r="H50" s="66">
        <v>4.45</v>
      </c>
      <c r="I50" s="24"/>
      <c r="J50" s="24"/>
      <c r="K50" s="66">
        <f t="shared" si="16"/>
        <v>2.6292134831460672</v>
      </c>
      <c r="L50" s="36"/>
      <c r="M50" s="6">
        <v>75</v>
      </c>
      <c r="N50" s="34"/>
      <c r="O50" s="2">
        <v>-7</v>
      </c>
      <c r="P50" s="34"/>
      <c r="Q50" s="24"/>
      <c r="R50" s="7"/>
      <c r="S50" s="66">
        <v>10.8</v>
      </c>
      <c r="T50" s="66">
        <v>5.68</v>
      </c>
      <c r="U50" s="24"/>
      <c r="V50" s="24"/>
      <c r="W50" s="66">
        <f t="shared" si="17"/>
        <v>1.9014084507042255</v>
      </c>
      <c r="X50" s="34"/>
      <c r="Y50" s="5">
        <f>AA50*(1.029-(0.05*Z50/G52))</f>
        <v>2.7896274999999999</v>
      </c>
      <c r="Z50" s="66">
        <v>11.6</v>
      </c>
      <c r="AA50" s="66">
        <v>2.81</v>
      </c>
      <c r="AB50" s="66">
        <v>10.8</v>
      </c>
      <c r="AC50" s="66">
        <v>2.04</v>
      </c>
      <c r="AD50" s="34"/>
      <c r="AE50" s="2"/>
      <c r="AF50" s="34"/>
      <c r="AG50" s="34"/>
      <c r="AH50" s="33"/>
    </row>
    <row r="51" spans="1:34" x14ac:dyDescent="0.4">
      <c r="A51" s="3"/>
      <c r="C51" s="2">
        <v>2</v>
      </c>
      <c r="D51" s="2"/>
      <c r="E51" s="24"/>
      <c r="F51" s="24"/>
      <c r="G51" s="66">
        <v>13</v>
      </c>
      <c r="H51" s="66">
        <v>3.94</v>
      </c>
      <c r="I51" s="24"/>
      <c r="J51" s="24"/>
      <c r="K51" s="66">
        <f t="shared" si="16"/>
        <v>3.2994923857868019</v>
      </c>
      <c r="L51" s="36"/>
      <c r="M51" s="6">
        <v>75</v>
      </c>
      <c r="N51" s="34"/>
      <c r="O51" s="2">
        <v>2</v>
      </c>
      <c r="P51" s="34"/>
      <c r="Q51" s="24"/>
      <c r="R51" s="7"/>
      <c r="S51" s="66">
        <v>12</v>
      </c>
      <c r="T51" s="66">
        <v>5.29</v>
      </c>
      <c r="U51" s="24"/>
      <c r="V51" s="24"/>
      <c r="W51" s="66">
        <f t="shared" si="17"/>
        <v>2.2684310018903591</v>
      </c>
      <c r="X51" s="34"/>
      <c r="Y51" s="5">
        <f>AA51*(0.906-(0.044*Z51/G52))</f>
        <v>3.9222112499999997</v>
      </c>
      <c r="Z51" s="66">
        <v>7.5</v>
      </c>
      <c r="AA51" s="66">
        <v>4.43</v>
      </c>
      <c r="AB51" s="66">
        <v>7</v>
      </c>
      <c r="AC51" s="66">
        <v>3.64</v>
      </c>
      <c r="AD51" s="34"/>
      <c r="AE51" s="2"/>
      <c r="AF51" s="34"/>
      <c r="AG51" s="34"/>
      <c r="AH51" s="33"/>
    </row>
    <row r="52" spans="1:34" x14ac:dyDescent="0.4">
      <c r="A52" s="3"/>
      <c r="C52" s="2">
        <v>7</v>
      </c>
      <c r="D52" s="2"/>
      <c r="E52" s="24"/>
      <c r="F52" s="24"/>
      <c r="G52" s="66">
        <v>16</v>
      </c>
      <c r="H52" s="66">
        <v>3.44</v>
      </c>
      <c r="I52" s="24"/>
      <c r="J52" s="24"/>
      <c r="K52" s="66">
        <f t="shared" si="16"/>
        <v>4.6511627906976747</v>
      </c>
      <c r="L52" s="36"/>
      <c r="M52" s="6">
        <v>75</v>
      </c>
      <c r="N52" s="34"/>
      <c r="O52" s="2">
        <v>7</v>
      </c>
      <c r="P52" s="34"/>
      <c r="Q52" s="24"/>
      <c r="R52" s="7"/>
      <c r="S52" s="66">
        <v>14.7</v>
      </c>
      <c r="T52" s="66">
        <v>4.9000000000000004</v>
      </c>
      <c r="U52" s="24"/>
      <c r="V52" s="24"/>
      <c r="W52" s="66">
        <f t="shared" si="17"/>
        <v>2.9999999999999996</v>
      </c>
      <c r="X52" s="34"/>
      <c r="Y52" s="5">
        <f>K52</f>
        <v>4.6511627906976747</v>
      </c>
      <c r="Z52" s="66">
        <v>4.9000000000000004</v>
      </c>
      <c r="AA52" s="66">
        <v>6.35</v>
      </c>
      <c r="AB52" s="66">
        <v>4.7</v>
      </c>
      <c r="AC52" s="66">
        <v>4.76</v>
      </c>
      <c r="AD52" s="34"/>
      <c r="AE52" s="2"/>
      <c r="AF52" s="34"/>
      <c r="AG52" s="34"/>
      <c r="AH52" s="33"/>
    </row>
    <row r="53" spans="1:34" x14ac:dyDescent="0.4">
      <c r="A53" s="3"/>
      <c r="C53" s="2">
        <v>12</v>
      </c>
      <c r="D53" s="2"/>
      <c r="E53" s="24"/>
      <c r="F53" s="24"/>
      <c r="G53" s="68" t="s">
        <v>61</v>
      </c>
      <c r="H53" s="68" t="s">
        <v>61</v>
      </c>
      <c r="I53" s="24"/>
      <c r="J53" s="24"/>
      <c r="K53" s="26" t="s">
        <v>61</v>
      </c>
      <c r="L53" s="36"/>
      <c r="M53" s="6">
        <v>75</v>
      </c>
      <c r="N53" s="34"/>
      <c r="O53" s="2">
        <v>12</v>
      </c>
      <c r="P53" s="34"/>
      <c r="Q53" s="24"/>
      <c r="R53" s="24"/>
      <c r="S53" s="26" t="s">
        <v>61</v>
      </c>
      <c r="T53" s="26" t="s">
        <v>61</v>
      </c>
      <c r="U53" s="24"/>
      <c r="V53" s="24"/>
      <c r="W53" s="26" t="s">
        <v>61</v>
      </c>
      <c r="X53" s="34"/>
      <c r="Y53" s="17"/>
      <c r="Z53" s="66">
        <v>5.7</v>
      </c>
      <c r="AA53" s="66">
        <v>7.68</v>
      </c>
      <c r="AB53" s="66">
        <v>5.4</v>
      </c>
      <c r="AC53" s="66">
        <v>5.57</v>
      </c>
      <c r="AD53" s="34"/>
      <c r="AE53" s="2"/>
      <c r="AF53" s="34"/>
      <c r="AG53" s="34"/>
      <c r="AH53" s="33"/>
    </row>
    <row r="54" spans="1:34" x14ac:dyDescent="0.4">
      <c r="A54" s="8"/>
      <c r="B54" s="8"/>
      <c r="C54" s="9"/>
      <c r="D54" s="9"/>
      <c r="E54" s="18"/>
      <c r="F54" s="18"/>
      <c r="G54" s="22"/>
      <c r="H54" s="22"/>
      <c r="I54" s="22"/>
      <c r="J54" s="22"/>
      <c r="K54" s="22"/>
      <c r="L54" s="18"/>
      <c r="M54" s="18"/>
      <c r="N54" s="18"/>
      <c r="O54" s="18"/>
      <c r="P54" s="18"/>
      <c r="Q54" s="18"/>
      <c r="R54" s="22"/>
      <c r="S54" s="22"/>
      <c r="T54" s="22"/>
      <c r="U54" s="22"/>
      <c r="V54" s="22"/>
      <c r="W54" s="22"/>
      <c r="X54" s="18"/>
      <c r="Y54" s="22"/>
      <c r="Z54" s="22"/>
      <c r="AA54" s="22"/>
      <c r="AB54" s="22"/>
      <c r="AC54" s="22"/>
      <c r="AD54" s="18"/>
      <c r="AE54" s="18"/>
      <c r="AF54" s="18"/>
      <c r="AG54" s="18"/>
      <c r="AH54" s="18"/>
    </row>
    <row r="55" spans="1:34" x14ac:dyDescent="0.4">
      <c r="A55" s="3" t="s">
        <v>144</v>
      </c>
      <c r="B55" s="1" t="s">
        <v>162</v>
      </c>
      <c r="C55" s="4"/>
      <c r="D55" s="2"/>
      <c r="E55" s="24"/>
      <c r="F55" s="24"/>
      <c r="G55" s="24"/>
      <c r="H55" s="24"/>
      <c r="I55" s="24"/>
      <c r="J55" s="24"/>
      <c r="K55" s="24"/>
      <c r="L55" s="36"/>
      <c r="M55" s="27"/>
      <c r="N55" s="34"/>
      <c r="O55" s="64"/>
      <c r="P55" s="34"/>
      <c r="Q55" s="24"/>
      <c r="R55" s="24"/>
      <c r="S55" s="24"/>
      <c r="T55" s="24"/>
      <c r="U55" s="24"/>
      <c r="V55" s="24"/>
      <c r="W55" s="24"/>
      <c r="X55" s="4">
        <v>6</v>
      </c>
      <c r="Y55" s="36"/>
      <c r="Z55" s="24"/>
      <c r="AA55" s="24"/>
      <c r="AB55" s="24"/>
      <c r="AC55" s="24"/>
      <c r="AD55" s="34"/>
      <c r="AE55" s="2" t="s">
        <v>37</v>
      </c>
      <c r="AF55" s="66">
        <v>14</v>
      </c>
      <c r="AG55" s="66">
        <v>4.38</v>
      </c>
      <c r="AH55" s="66">
        <f>AF55/AG55</f>
        <v>3.1963470319634704</v>
      </c>
    </row>
    <row r="56" spans="1:34" x14ac:dyDescent="0.4">
      <c r="A56" s="3"/>
      <c r="C56" s="13">
        <v>-25</v>
      </c>
      <c r="D56" s="2"/>
      <c r="E56" s="24"/>
      <c r="F56" s="24"/>
      <c r="G56" s="66">
        <v>8.3000000000000007</v>
      </c>
      <c r="H56" s="66">
        <v>4.68</v>
      </c>
      <c r="I56" s="24"/>
      <c r="J56" s="24"/>
      <c r="K56" s="66">
        <f>G56/H56</f>
        <v>1.7735042735042739</v>
      </c>
      <c r="L56" s="36"/>
      <c r="M56" s="6">
        <v>55</v>
      </c>
      <c r="N56" s="34"/>
      <c r="O56" s="2">
        <v>-25</v>
      </c>
      <c r="P56" s="34"/>
      <c r="Q56" s="24"/>
      <c r="R56" s="7"/>
      <c r="S56" s="66">
        <v>7.15</v>
      </c>
      <c r="T56" s="66">
        <v>5.7</v>
      </c>
      <c r="U56" s="7"/>
      <c r="V56" s="24"/>
      <c r="W56" s="66">
        <f>S56/T56</f>
        <v>1.2543859649122808</v>
      </c>
      <c r="X56" s="34"/>
      <c r="Y56" s="36"/>
      <c r="Z56" s="24"/>
      <c r="AA56" s="24"/>
      <c r="AB56" s="24"/>
      <c r="AC56" s="24"/>
      <c r="AD56" s="34"/>
      <c r="AE56" s="2"/>
      <c r="AF56" s="7"/>
      <c r="AG56" s="7"/>
      <c r="AH56" s="7"/>
    </row>
    <row r="57" spans="1:34" x14ac:dyDescent="0.4">
      <c r="A57" s="46"/>
      <c r="C57" s="13">
        <v>-20</v>
      </c>
      <c r="D57" s="2"/>
      <c r="E57" s="24"/>
      <c r="F57" s="24"/>
      <c r="G57" s="66">
        <v>9</v>
      </c>
      <c r="H57" s="66">
        <v>4.3600000000000003</v>
      </c>
      <c r="I57" s="24"/>
      <c r="J57" s="24"/>
      <c r="K57" s="66">
        <f t="shared" ref="K57:K58" si="18">G57/H57</f>
        <v>2.0642201834862384</v>
      </c>
      <c r="L57" s="36"/>
      <c r="M57" s="6">
        <v>65</v>
      </c>
      <c r="N57" s="34"/>
      <c r="O57" s="2">
        <v>-20</v>
      </c>
      <c r="P57" s="34"/>
      <c r="Q57" s="24"/>
      <c r="R57" s="7"/>
      <c r="S57" s="66">
        <v>8.1999999999999993</v>
      </c>
      <c r="T57" s="66">
        <v>5.57</v>
      </c>
      <c r="U57" s="7"/>
      <c r="V57" s="24"/>
      <c r="W57" s="66">
        <f t="shared" ref="W57:W58" si="19">S57/T57</f>
        <v>1.4721723518850987</v>
      </c>
      <c r="X57" s="34"/>
      <c r="Y57" s="36"/>
      <c r="Z57" s="24"/>
      <c r="AA57" s="24"/>
      <c r="AB57" s="24"/>
      <c r="AC57" s="24"/>
      <c r="AD57" s="34"/>
      <c r="AE57" s="2" t="s">
        <v>38</v>
      </c>
      <c r="AF57" s="66">
        <v>17</v>
      </c>
      <c r="AG57" s="66">
        <v>4.5199999999999996</v>
      </c>
      <c r="AH57" s="66">
        <f>AF57/AG57</f>
        <v>3.7610619469026552</v>
      </c>
    </row>
    <row r="58" spans="1:34" x14ac:dyDescent="0.4">
      <c r="A58" s="3"/>
      <c r="C58" s="2">
        <v>-15</v>
      </c>
      <c r="D58" s="2"/>
      <c r="E58" s="24"/>
      <c r="F58" s="24"/>
      <c r="G58" s="66">
        <v>10.5</v>
      </c>
      <c r="H58" s="66">
        <v>4.38</v>
      </c>
      <c r="I58" s="24"/>
      <c r="J58" s="24"/>
      <c r="K58" s="66">
        <f t="shared" si="18"/>
        <v>2.397260273972603</v>
      </c>
      <c r="L58" s="36"/>
      <c r="M58" s="6">
        <v>75</v>
      </c>
      <c r="N58" s="34"/>
      <c r="O58" s="2">
        <v>-15</v>
      </c>
      <c r="P58" s="34"/>
      <c r="Q58" s="24"/>
      <c r="R58" s="7"/>
      <c r="S58" s="66">
        <v>9.3000000000000007</v>
      </c>
      <c r="T58" s="66">
        <v>5.57</v>
      </c>
      <c r="U58" s="7"/>
      <c r="V58" s="24"/>
      <c r="W58" s="66">
        <f t="shared" si="19"/>
        <v>1.6696588868940754</v>
      </c>
      <c r="X58" s="34"/>
      <c r="Y58" s="36"/>
      <c r="Z58" s="24"/>
      <c r="AA58" s="24"/>
      <c r="AB58" s="24"/>
      <c r="AC58" s="24"/>
      <c r="AD58" s="34"/>
      <c r="AE58" s="2" t="s">
        <v>40</v>
      </c>
      <c r="AF58" s="66">
        <v>15.5</v>
      </c>
      <c r="AG58" s="66">
        <v>3.27</v>
      </c>
      <c r="AH58" s="66">
        <f>AF58/AG58</f>
        <v>4.7400611620795106</v>
      </c>
    </row>
    <row r="59" spans="1:34" x14ac:dyDescent="0.4">
      <c r="A59" s="3"/>
      <c r="C59" s="2">
        <v>-10</v>
      </c>
      <c r="D59" s="2"/>
      <c r="E59" s="24"/>
      <c r="F59" s="24"/>
      <c r="G59" s="66"/>
      <c r="H59" s="66"/>
      <c r="I59" s="24"/>
      <c r="J59" s="24"/>
      <c r="K59" s="66"/>
      <c r="L59" s="36"/>
      <c r="M59" s="6">
        <v>75</v>
      </c>
      <c r="N59" s="34"/>
      <c r="O59" s="2">
        <v>-10</v>
      </c>
      <c r="P59" s="34"/>
      <c r="Q59" s="24"/>
      <c r="R59" s="7"/>
      <c r="S59" s="66"/>
      <c r="T59" s="66"/>
      <c r="U59" s="7"/>
      <c r="V59" s="24"/>
      <c r="W59" s="66"/>
      <c r="X59" s="34"/>
      <c r="Y59" s="17" t="s">
        <v>39</v>
      </c>
      <c r="Z59" s="66">
        <v>11.2</v>
      </c>
      <c r="AA59" s="66">
        <v>2.83</v>
      </c>
      <c r="AB59" s="66">
        <v>10</v>
      </c>
      <c r="AC59" s="66">
        <v>1.92</v>
      </c>
      <c r="AD59" s="34"/>
      <c r="AF59" s="33"/>
      <c r="AG59" s="33"/>
      <c r="AH59" s="33"/>
    </row>
    <row r="60" spans="1:34" x14ac:dyDescent="0.4">
      <c r="A60" s="3"/>
      <c r="C60" s="2">
        <v>-7</v>
      </c>
      <c r="D60" s="2"/>
      <c r="E60" s="24"/>
      <c r="F60" s="24"/>
      <c r="G60" s="66">
        <v>11.7</v>
      </c>
      <c r="H60" s="66">
        <v>4.45</v>
      </c>
      <c r="I60" s="24"/>
      <c r="J60" s="24"/>
      <c r="K60" s="66">
        <f t="shared" ref="K60:K62" si="20">G60/H60</f>
        <v>2.6292134831460672</v>
      </c>
      <c r="L60" s="36"/>
      <c r="M60" s="6">
        <v>75</v>
      </c>
      <c r="N60" s="34"/>
      <c r="O60" s="2">
        <v>-7</v>
      </c>
      <c r="P60" s="34"/>
      <c r="Q60" s="24"/>
      <c r="R60" s="7"/>
      <c r="S60" s="66">
        <v>10.8</v>
      </c>
      <c r="T60" s="66">
        <v>5.68</v>
      </c>
      <c r="U60" s="7"/>
      <c r="V60" s="24"/>
      <c r="W60" s="66">
        <f t="shared" ref="W60:W62" si="21">S60/T60</f>
        <v>1.9014084507042255</v>
      </c>
      <c r="X60" s="34"/>
      <c r="Y60" s="5">
        <f>AA60*(1.029-(0.05*Z60/G62))</f>
        <v>2.7896274999999999</v>
      </c>
      <c r="Z60" s="66">
        <v>11.6</v>
      </c>
      <c r="AA60" s="66">
        <v>2.81</v>
      </c>
      <c r="AB60" s="66">
        <v>10.8</v>
      </c>
      <c r="AC60" s="66">
        <v>2.04</v>
      </c>
      <c r="AD60" s="34"/>
      <c r="AE60" s="2"/>
      <c r="AF60" s="34"/>
      <c r="AG60" s="34"/>
      <c r="AH60" s="33"/>
    </row>
    <row r="61" spans="1:34" x14ac:dyDescent="0.4">
      <c r="A61" s="3"/>
      <c r="C61" s="2">
        <v>2</v>
      </c>
      <c r="D61" s="2"/>
      <c r="E61" s="24"/>
      <c r="F61" s="24"/>
      <c r="G61" s="66">
        <v>13</v>
      </c>
      <c r="H61" s="66">
        <v>3.94</v>
      </c>
      <c r="I61" s="24"/>
      <c r="J61" s="24"/>
      <c r="K61" s="66">
        <f t="shared" si="20"/>
        <v>3.2994923857868019</v>
      </c>
      <c r="L61" s="36"/>
      <c r="M61" s="6">
        <v>75</v>
      </c>
      <c r="N61" s="34"/>
      <c r="O61" s="2">
        <v>2</v>
      </c>
      <c r="P61" s="34"/>
      <c r="Q61" s="24"/>
      <c r="R61" s="7"/>
      <c r="S61" s="66">
        <v>12</v>
      </c>
      <c r="T61" s="66">
        <v>5.29</v>
      </c>
      <c r="U61" s="7"/>
      <c r="V61" s="24"/>
      <c r="W61" s="66">
        <f t="shared" si="21"/>
        <v>2.2684310018903591</v>
      </c>
      <c r="X61" s="34"/>
      <c r="Y61" s="5">
        <f>AA61*(0.906-(0.044*Z61/G62))</f>
        <v>3.9222112499999997</v>
      </c>
      <c r="Z61" s="66">
        <v>7.5</v>
      </c>
      <c r="AA61" s="66">
        <v>4.43</v>
      </c>
      <c r="AB61" s="66">
        <v>7</v>
      </c>
      <c r="AC61" s="66">
        <v>3.64</v>
      </c>
      <c r="AD61" s="34"/>
      <c r="AE61" s="2"/>
      <c r="AF61" s="34"/>
      <c r="AG61" s="34"/>
      <c r="AH61" s="33"/>
    </row>
    <row r="62" spans="1:34" x14ac:dyDescent="0.4">
      <c r="A62" s="3"/>
      <c r="C62" s="2">
        <v>7</v>
      </c>
      <c r="D62" s="2"/>
      <c r="E62" s="24"/>
      <c r="F62" s="24"/>
      <c r="G62" s="66">
        <v>16</v>
      </c>
      <c r="H62" s="66">
        <v>3.44</v>
      </c>
      <c r="I62" s="24"/>
      <c r="J62" s="24"/>
      <c r="K62" s="66">
        <f t="shared" si="20"/>
        <v>4.6511627906976747</v>
      </c>
      <c r="L62" s="36"/>
      <c r="M62" s="6">
        <v>75</v>
      </c>
      <c r="N62" s="34"/>
      <c r="O62" s="2">
        <v>7</v>
      </c>
      <c r="P62" s="34"/>
      <c r="Q62" s="24"/>
      <c r="R62" s="7"/>
      <c r="S62" s="66">
        <v>14.7</v>
      </c>
      <c r="T62" s="66">
        <v>4.9000000000000004</v>
      </c>
      <c r="U62" s="7"/>
      <c r="V62" s="24"/>
      <c r="W62" s="66">
        <f t="shared" si="21"/>
        <v>2.9999999999999996</v>
      </c>
      <c r="X62" s="34"/>
      <c r="Y62" s="5">
        <f>K62</f>
        <v>4.6511627906976747</v>
      </c>
      <c r="Z62" s="66">
        <v>4.9000000000000004</v>
      </c>
      <c r="AA62" s="66">
        <v>6.35</v>
      </c>
      <c r="AB62" s="66">
        <v>4.7</v>
      </c>
      <c r="AC62" s="66">
        <v>4.76</v>
      </c>
      <c r="AD62" s="34"/>
      <c r="AE62" s="2"/>
      <c r="AF62" s="34"/>
      <c r="AG62" s="34"/>
      <c r="AH62" s="33"/>
    </row>
    <row r="63" spans="1:34" x14ac:dyDescent="0.4">
      <c r="A63" s="3"/>
      <c r="C63" s="2">
        <v>12</v>
      </c>
      <c r="D63" s="2"/>
      <c r="E63" s="24"/>
      <c r="F63" s="24"/>
      <c r="G63" s="26" t="s">
        <v>61</v>
      </c>
      <c r="H63" s="26" t="s">
        <v>61</v>
      </c>
      <c r="I63" s="24"/>
      <c r="J63" s="24"/>
      <c r="K63" s="26" t="s">
        <v>61</v>
      </c>
      <c r="L63" s="36"/>
      <c r="M63" s="6">
        <v>75</v>
      </c>
      <c r="N63" s="34"/>
      <c r="O63" s="2">
        <v>12</v>
      </c>
      <c r="P63" s="34"/>
      <c r="Q63" s="24"/>
      <c r="R63" s="7"/>
      <c r="S63" s="68" t="s">
        <v>61</v>
      </c>
      <c r="T63" s="68" t="s">
        <v>61</v>
      </c>
      <c r="U63" s="7"/>
      <c r="V63" s="24"/>
      <c r="W63" s="26" t="s">
        <v>61</v>
      </c>
      <c r="X63" s="34"/>
      <c r="Y63" s="17"/>
      <c r="Z63" s="66">
        <v>5.7</v>
      </c>
      <c r="AA63" s="66">
        <v>7.68</v>
      </c>
      <c r="AB63" s="66">
        <v>5.4</v>
      </c>
      <c r="AC63" s="66">
        <v>5.57</v>
      </c>
      <c r="AD63" s="34"/>
      <c r="AE63" s="2"/>
      <c r="AF63" s="34"/>
      <c r="AG63" s="34"/>
      <c r="AH63" s="33"/>
    </row>
    <row r="64" spans="1:34" x14ac:dyDescent="0.4">
      <c r="A64" s="8"/>
      <c r="B64" s="8"/>
      <c r="C64" s="9"/>
      <c r="D64" s="9"/>
      <c r="E64" s="18"/>
      <c r="F64" s="18"/>
      <c r="G64" s="22"/>
      <c r="H64" s="22"/>
      <c r="I64" s="22"/>
      <c r="J64" s="22"/>
      <c r="K64" s="22"/>
      <c r="L64" s="18"/>
      <c r="M64" s="18"/>
      <c r="N64" s="18"/>
      <c r="O64" s="18"/>
      <c r="P64" s="18"/>
      <c r="Q64" s="18"/>
      <c r="R64" s="22"/>
      <c r="S64" s="22"/>
      <c r="T64" s="22"/>
      <c r="U64" s="22"/>
      <c r="V64" s="22"/>
      <c r="W64" s="22"/>
      <c r="X64" s="18"/>
      <c r="Y64" s="22"/>
      <c r="Z64" s="22"/>
      <c r="AA64" s="22"/>
      <c r="AB64" s="22"/>
      <c r="AC64" s="22"/>
      <c r="AD64" s="18"/>
      <c r="AE64" s="18"/>
      <c r="AF64" s="18"/>
      <c r="AG64" s="18"/>
      <c r="AH64" s="18"/>
    </row>
    <row r="65" spans="1:34" x14ac:dyDescent="0.4">
      <c r="A65" s="3" t="s">
        <v>137</v>
      </c>
      <c r="B65" s="1" t="s">
        <v>162</v>
      </c>
      <c r="C65" s="4"/>
      <c r="D65" s="2"/>
      <c r="E65" s="24"/>
      <c r="F65" s="24"/>
      <c r="G65" s="24"/>
      <c r="H65" s="24"/>
      <c r="I65" s="24"/>
      <c r="J65" s="24"/>
      <c r="K65" s="24"/>
      <c r="L65" s="36"/>
      <c r="M65" s="27"/>
      <c r="N65" s="34"/>
      <c r="O65" s="64"/>
      <c r="P65" s="34"/>
      <c r="Q65" s="24"/>
      <c r="R65" s="24"/>
      <c r="S65" s="24"/>
      <c r="T65" s="24"/>
      <c r="U65" s="24"/>
      <c r="V65" s="24"/>
      <c r="W65" s="24"/>
      <c r="X65" s="4">
        <v>3</v>
      </c>
      <c r="Y65" s="36"/>
      <c r="Z65" s="24"/>
      <c r="AA65" s="24"/>
      <c r="AB65" s="24"/>
      <c r="AC65" s="24"/>
      <c r="AD65" s="34"/>
      <c r="AE65" s="2" t="s">
        <v>37</v>
      </c>
      <c r="AF65" s="66">
        <v>14</v>
      </c>
      <c r="AG65" s="66">
        <v>4.38</v>
      </c>
      <c r="AH65" s="66">
        <f>AF65/AG65</f>
        <v>3.1963470319634704</v>
      </c>
    </row>
    <row r="66" spans="1:34" x14ac:dyDescent="0.4">
      <c r="A66" s="3"/>
      <c r="C66" s="13">
        <v>-25</v>
      </c>
      <c r="D66" s="2"/>
      <c r="E66" s="24"/>
      <c r="F66" s="24"/>
      <c r="G66" s="66">
        <v>8.3000000000000007</v>
      </c>
      <c r="H66" s="66">
        <v>4.68</v>
      </c>
      <c r="I66" s="7"/>
      <c r="J66" s="24"/>
      <c r="K66" s="66">
        <f>G66/H66</f>
        <v>1.7735042735042739</v>
      </c>
      <c r="L66" s="36"/>
      <c r="M66" s="6">
        <v>55</v>
      </c>
      <c r="N66" s="34"/>
      <c r="O66" s="2">
        <v>-25</v>
      </c>
      <c r="P66" s="34"/>
      <c r="Q66" s="24"/>
      <c r="R66" s="7"/>
      <c r="S66" s="66">
        <v>7.15</v>
      </c>
      <c r="T66" s="66">
        <v>5.7</v>
      </c>
      <c r="U66" s="24"/>
      <c r="V66" s="24"/>
      <c r="W66" s="66">
        <f>S66/T66</f>
        <v>1.2543859649122808</v>
      </c>
      <c r="X66" s="34"/>
      <c r="Y66" s="36"/>
      <c r="Z66" s="24"/>
      <c r="AA66" s="24"/>
      <c r="AB66" s="24"/>
      <c r="AC66" s="24"/>
      <c r="AD66" s="34"/>
      <c r="AE66" s="2"/>
      <c r="AF66" s="7"/>
      <c r="AG66" s="7"/>
      <c r="AH66" s="7"/>
    </row>
    <row r="67" spans="1:34" x14ac:dyDescent="0.4">
      <c r="A67" s="46"/>
      <c r="C67" s="13">
        <v>-20</v>
      </c>
      <c r="D67" s="2"/>
      <c r="E67" s="24"/>
      <c r="F67" s="24"/>
      <c r="G67" s="66">
        <v>9</v>
      </c>
      <c r="H67" s="66">
        <v>4.3600000000000003</v>
      </c>
      <c r="I67" s="7"/>
      <c r="J67" s="24"/>
      <c r="K67" s="66">
        <f t="shared" ref="K67:K68" si="22">G67/H67</f>
        <v>2.0642201834862384</v>
      </c>
      <c r="L67" s="36"/>
      <c r="M67" s="6">
        <v>65</v>
      </c>
      <c r="N67" s="34"/>
      <c r="O67" s="2">
        <v>-20</v>
      </c>
      <c r="P67" s="34"/>
      <c r="Q67" s="24"/>
      <c r="R67" s="7"/>
      <c r="S67" s="66">
        <v>8.1999999999999993</v>
      </c>
      <c r="T67" s="66">
        <v>5.57</v>
      </c>
      <c r="U67" s="24"/>
      <c r="V67" s="24"/>
      <c r="W67" s="66">
        <f t="shared" ref="W67:W68" si="23">S67/T67</f>
        <v>1.4721723518850987</v>
      </c>
      <c r="X67" s="34"/>
      <c r="Y67" s="36"/>
      <c r="Z67" s="24"/>
      <c r="AA67" s="24"/>
      <c r="AB67" s="24"/>
      <c r="AC67" s="24"/>
      <c r="AD67" s="34"/>
      <c r="AE67" s="2" t="s">
        <v>38</v>
      </c>
      <c r="AF67" s="66">
        <v>17</v>
      </c>
      <c r="AG67" s="66">
        <v>4.5199999999999996</v>
      </c>
      <c r="AH67" s="66">
        <f>AF67/AG67</f>
        <v>3.7610619469026552</v>
      </c>
    </row>
    <row r="68" spans="1:34" x14ac:dyDescent="0.4">
      <c r="A68" s="3"/>
      <c r="C68" s="2">
        <v>-15</v>
      </c>
      <c r="D68" s="2"/>
      <c r="E68" s="24"/>
      <c r="F68" s="24"/>
      <c r="G68" s="66">
        <v>10.5</v>
      </c>
      <c r="H68" s="66">
        <v>4.38</v>
      </c>
      <c r="I68" s="7"/>
      <c r="J68" s="24"/>
      <c r="K68" s="66">
        <f t="shared" si="22"/>
        <v>2.397260273972603</v>
      </c>
      <c r="L68" s="36"/>
      <c r="M68" s="6">
        <v>75</v>
      </c>
      <c r="N68" s="34"/>
      <c r="O68" s="2">
        <v>-15</v>
      </c>
      <c r="P68" s="34"/>
      <c r="Q68" s="24"/>
      <c r="R68" s="7"/>
      <c r="S68" s="66">
        <v>9.3000000000000007</v>
      </c>
      <c r="T68" s="66">
        <v>5.57</v>
      </c>
      <c r="U68" s="24"/>
      <c r="V68" s="24"/>
      <c r="W68" s="66">
        <f t="shared" si="23"/>
        <v>1.6696588868940754</v>
      </c>
      <c r="X68" s="34"/>
      <c r="Y68" s="36"/>
      <c r="Z68" s="24"/>
      <c r="AA68" s="24"/>
      <c r="AB68" s="24"/>
      <c r="AC68" s="24"/>
      <c r="AD68" s="34"/>
      <c r="AE68" s="2" t="s">
        <v>40</v>
      </c>
      <c r="AF68" s="66">
        <v>15.5</v>
      </c>
      <c r="AG68" s="66">
        <v>3.27</v>
      </c>
      <c r="AH68" s="66">
        <f>AF68/AG68</f>
        <v>4.7400611620795106</v>
      </c>
    </row>
    <row r="69" spans="1:34" x14ac:dyDescent="0.4">
      <c r="A69" s="3"/>
      <c r="C69" s="2">
        <v>-10</v>
      </c>
      <c r="D69" s="2"/>
      <c r="E69" s="24"/>
      <c r="F69" s="24"/>
      <c r="G69" s="66"/>
      <c r="H69" s="66"/>
      <c r="I69" s="7"/>
      <c r="J69" s="24"/>
      <c r="K69" s="66"/>
      <c r="L69" s="36"/>
      <c r="M69" s="6">
        <v>75</v>
      </c>
      <c r="N69" s="34"/>
      <c r="O69" s="2">
        <v>-10</v>
      </c>
      <c r="P69" s="34"/>
      <c r="Q69" s="24"/>
      <c r="R69" s="7"/>
      <c r="S69" s="66"/>
      <c r="T69" s="66"/>
      <c r="U69" s="24"/>
      <c r="V69" s="24"/>
      <c r="W69" s="66"/>
      <c r="X69" s="34"/>
      <c r="Y69" s="17" t="s">
        <v>39</v>
      </c>
      <c r="Z69" s="66">
        <v>11.2</v>
      </c>
      <c r="AA69" s="66">
        <v>2.83</v>
      </c>
      <c r="AB69" s="66">
        <v>10</v>
      </c>
      <c r="AC69" s="66">
        <v>1.92</v>
      </c>
      <c r="AD69" s="34"/>
      <c r="AF69" s="33"/>
      <c r="AG69" s="33"/>
      <c r="AH69" s="33"/>
    </row>
    <row r="70" spans="1:34" x14ac:dyDescent="0.4">
      <c r="A70" s="3"/>
      <c r="C70" s="2">
        <v>-7</v>
      </c>
      <c r="D70" s="2"/>
      <c r="E70" s="24"/>
      <c r="F70" s="24"/>
      <c r="G70" s="66">
        <v>11.7</v>
      </c>
      <c r="H70" s="66">
        <v>4.45</v>
      </c>
      <c r="I70" s="7"/>
      <c r="J70" s="24"/>
      <c r="K70" s="66">
        <f t="shared" ref="K70:K72" si="24">G70/H70</f>
        <v>2.6292134831460672</v>
      </c>
      <c r="L70" s="36"/>
      <c r="M70" s="6">
        <v>75</v>
      </c>
      <c r="N70" s="34"/>
      <c r="O70" s="2">
        <v>-7</v>
      </c>
      <c r="P70" s="34"/>
      <c r="Q70" s="24"/>
      <c r="R70" s="7"/>
      <c r="S70" s="66">
        <v>10.8</v>
      </c>
      <c r="T70" s="66">
        <v>5.68</v>
      </c>
      <c r="U70" s="24"/>
      <c r="V70" s="24"/>
      <c r="W70" s="66">
        <f t="shared" ref="W70:W72" si="25">S70/T70</f>
        <v>1.9014084507042255</v>
      </c>
      <c r="X70" s="34"/>
      <c r="Y70" s="5">
        <f>AA70*(1.029-(0.05*Z70/G72))</f>
        <v>2.7896274999999999</v>
      </c>
      <c r="Z70" s="66">
        <v>11.6</v>
      </c>
      <c r="AA70" s="66">
        <v>2.81</v>
      </c>
      <c r="AB70" s="66">
        <v>10.8</v>
      </c>
      <c r="AC70" s="66">
        <v>2.04</v>
      </c>
      <c r="AD70" s="34"/>
      <c r="AE70" s="2"/>
      <c r="AF70" s="34"/>
      <c r="AG70" s="34"/>
      <c r="AH70" s="33"/>
    </row>
    <row r="71" spans="1:34" x14ac:dyDescent="0.4">
      <c r="A71" s="3"/>
      <c r="C71" s="2">
        <v>2</v>
      </c>
      <c r="D71" s="2"/>
      <c r="E71" s="24"/>
      <c r="F71" s="24"/>
      <c r="G71" s="66">
        <v>13</v>
      </c>
      <c r="H71" s="66">
        <v>3.94</v>
      </c>
      <c r="I71" s="7"/>
      <c r="J71" s="24"/>
      <c r="K71" s="66">
        <f t="shared" si="24"/>
        <v>3.2994923857868019</v>
      </c>
      <c r="L71" s="36"/>
      <c r="M71" s="6">
        <v>75</v>
      </c>
      <c r="N71" s="34"/>
      <c r="O71" s="2">
        <v>2</v>
      </c>
      <c r="P71" s="34"/>
      <c r="Q71" s="24"/>
      <c r="R71" s="7"/>
      <c r="S71" s="66">
        <v>12</v>
      </c>
      <c r="T71" s="66">
        <v>5.29</v>
      </c>
      <c r="U71" s="24"/>
      <c r="V71" s="24"/>
      <c r="W71" s="66">
        <f t="shared" si="25"/>
        <v>2.2684310018903591</v>
      </c>
      <c r="X71" s="34"/>
      <c r="Y71" s="5">
        <f>AA71*(0.906-(0.044*Z71/G72))</f>
        <v>3.9222112499999997</v>
      </c>
      <c r="Z71" s="66">
        <v>7.5</v>
      </c>
      <c r="AA71" s="66">
        <v>4.43</v>
      </c>
      <c r="AB71" s="66">
        <v>7</v>
      </c>
      <c r="AC71" s="66">
        <v>3.64</v>
      </c>
      <c r="AD71" s="34"/>
      <c r="AE71" s="2"/>
      <c r="AF71" s="34"/>
      <c r="AG71" s="34"/>
      <c r="AH71" s="33"/>
    </row>
    <row r="72" spans="1:34" x14ac:dyDescent="0.4">
      <c r="A72" s="3"/>
      <c r="C72" s="2">
        <v>7</v>
      </c>
      <c r="D72" s="2"/>
      <c r="E72" s="24"/>
      <c r="F72" s="24"/>
      <c r="G72" s="66">
        <v>16</v>
      </c>
      <c r="H72" s="66">
        <v>3.44</v>
      </c>
      <c r="I72" s="7"/>
      <c r="J72" s="24"/>
      <c r="K72" s="66">
        <f t="shared" si="24"/>
        <v>4.6511627906976747</v>
      </c>
      <c r="L72" s="36"/>
      <c r="M72" s="6">
        <v>75</v>
      </c>
      <c r="N72" s="34"/>
      <c r="O72" s="2">
        <v>7</v>
      </c>
      <c r="P72" s="34"/>
      <c r="Q72" s="24"/>
      <c r="R72" s="7"/>
      <c r="S72" s="66">
        <v>14.7</v>
      </c>
      <c r="T72" s="66">
        <v>4.9000000000000004</v>
      </c>
      <c r="U72" s="24"/>
      <c r="V72" s="24"/>
      <c r="W72" s="66">
        <f t="shared" si="25"/>
        <v>2.9999999999999996</v>
      </c>
      <c r="X72" s="34"/>
      <c r="Y72" s="5">
        <f>K72</f>
        <v>4.6511627906976747</v>
      </c>
      <c r="Z72" s="66">
        <v>4.9000000000000004</v>
      </c>
      <c r="AA72" s="66">
        <v>6.35</v>
      </c>
      <c r="AB72" s="66">
        <v>4.7</v>
      </c>
      <c r="AC72" s="66">
        <v>4.76</v>
      </c>
      <c r="AD72" s="34"/>
      <c r="AE72" s="2"/>
      <c r="AF72" s="34"/>
      <c r="AG72" s="34"/>
      <c r="AH72" s="33"/>
    </row>
    <row r="73" spans="1:34" x14ac:dyDescent="0.4">
      <c r="A73" s="3"/>
      <c r="C73" s="2">
        <v>12</v>
      </c>
      <c r="D73" s="2"/>
      <c r="E73" s="24"/>
      <c r="F73" s="24"/>
      <c r="G73" s="26" t="s">
        <v>61</v>
      </c>
      <c r="H73" s="26" t="s">
        <v>61</v>
      </c>
      <c r="I73" s="24"/>
      <c r="J73" s="24"/>
      <c r="K73" s="26" t="s">
        <v>61</v>
      </c>
      <c r="L73" s="36"/>
      <c r="M73" s="6">
        <v>75</v>
      </c>
      <c r="N73" s="34"/>
      <c r="O73" s="2">
        <v>12</v>
      </c>
      <c r="P73" s="34"/>
      <c r="Q73" s="24"/>
      <c r="R73" s="24"/>
      <c r="S73" s="26" t="s">
        <v>61</v>
      </c>
      <c r="T73" s="26" t="s">
        <v>61</v>
      </c>
      <c r="U73" s="24"/>
      <c r="V73" s="24"/>
      <c r="W73" s="26" t="s">
        <v>61</v>
      </c>
      <c r="X73" s="34"/>
      <c r="Y73" s="17"/>
      <c r="Z73" s="66">
        <v>5.7</v>
      </c>
      <c r="AA73" s="66">
        <v>7.68</v>
      </c>
      <c r="AB73" s="66">
        <v>5.4</v>
      </c>
      <c r="AC73" s="66">
        <v>5.57</v>
      </c>
      <c r="AD73" s="34"/>
      <c r="AE73" s="2"/>
      <c r="AF73" s="34"/>
      <c r="AG73" s="34"/>
      <c r="AH73" s="33"/>
    </row>
    <row r="74" spans="1:34" x14ac:dyDescent="0.4">
      <c r="A74" s="8"/>
      <c r="B74" s="8"/>
      <c r="C74" s="9"/>
      <c r="D74" s="9"/>
      <c r="E74" s="18"/>
      <c r="F74" s="18"/>
      <c r="G74" s="22"/>
      <c r="H74" s="22"/>
      <c r="I74" s="22"/>
      <c r="J74" s="22"/>
      <c r="K74" s="22"/>
      <c r="L74" s="18"/>
      <c r="M74" s="18"/>
      <c r="N74" s="18"/>
      <c r="O74" s="18"/>
      <c r="P74" s="18"/>
      <c r="Q74" s="18"/>
      <c r="R74" s="22"/>
      <c r="S74" s="22"/>
      <c r="T74" s="22"/>
      <c r="U74" s="22"/>
      <c r="V74" s="22"/>
      <c r="W74" s="22"/>
      <c r="X74" s="18"/>
      <c r="Y74" s="22"/>
      <c r="Z74" s="22"/>
      <c r="AA74" s="22"/>
      <c r="AB74" s="22"/>
      <c r="AC74" s="22"/>
      <c r="AD74" s="18"/>
      <c r="AE74" s="18"/>
      <c r="AF74" s="18"/>
      <c r="AG74" s="18"/>
      <c r="AH74" s="18"/>
    </row>
    <row r="75" spans="1:34" x14ac:dyDescent="0.4">
      <c r="A75" s="3" t="s">
        <v>141</v>
      </c>
      <c r="B75" s="1" t="s">
        <v>162</v>
      </c>
      <c r="C75" s="4"/>
      <c r="D75" s="2"/>
      <c r="E75" s="24"/>
      <c r="F75" s="24"/>
      <c r="G75" s="24"/>
      <c r="H75" s="24"/>
      <c r="I75" s="24"/>
      <c r="J75" s="24"/>
      <c r="K75" s="24"/>
      <c r="L75" s="36"/>
      <c r="M75" s="27"/>
      <c r="N75" s="34"/>
      <c r="O75" s="64"/>
      <c r="P75" s="34"/>
      <c r="Q75" s="24"/>
      <c r="R75" s="24"/>
      <c r="S75" s="24"/>
      <c r="T75" s="24"/>
      <c r="U75" s="24"/>
      <c r="V75" s="24"/>
      <c r="W75" s="24"/>
      <c r="X75" s="4">
        <v>3</v>
      </c>
      <c r="Y75" s="36"/>
      <c r="Z75" s="24"/>
      <c r="AA75" s="24"/>
      <c r="AB75" s="24"/>
      <c r="AC75" s="24"/>
      <c r="AD75" s="34"/>
      <c r="AE75" s="2" t="s">
        <v>37</v>
      </c>
      <c r="AF75" s="66">
        <v>14</v>
      </c>
      <c r="AG75" s="66">
        <v>4.38</v>
      </c>
      <c r="AH75" s="66">
        <f>AF75/AG75</f>
        <v>3.1963470319634704</v>
      </c>
    </row>
    <row r="76" spans="1:34" x14ac:dyDescent="0.4">
      <c r="A76" s="3"/>
      <c r="C76" s="13">
        <v>-25</v>
      </c>
      <c r="D76" s="2"/>
      <c r="E76" s="24"/>
      <c r="F76" s="24"/>
      <c r="G76" s="66">
        <v>8.3000000000000007</v>
      </c>
      <c r="H76" s="66">
        <v>4.68</v>
      </c>
      <c r="I76" s="7"/>
      <c r="J76" s="24"/>
      <c r="K76" s="66">
        <f>G76/H76</f>
        <v>1.7735042735042739</v>
      </c>
      <c r="L76" s="36"/>
      <c r="M76" s="6">
        <v>55</v>
      </c>
      <c r="N76" s="34"/>
      <c r="O76" s="2">
        <v>-25</v>
      </c>
      <c r="P76" s="34"/>
      <c r="Q76" s="24"/>
      <c r="R76" s="24"/>
      <c r="S76" s="66">
        <v>7.15</v>
      </c>
      <c r="T76" s="66">
        <v>5.7</v>
      </c>
      <c r="U76" s="24"/>
      <c r="V76" s="24"/>
      <c r="W76" s="66">
        <f>S76/T76</f>
        <v>1.2543859649122808</v>
      </c>
      <c r="X76" s="34"/>
      <c r="Y76" s="36"/>
      <c r="Z76" s="24"/>
      <c r="AA76" s="24"/>
      <c r="AB76" s="24"/>
      <c r="AC76" s="24"/>
      <c r="AD76" s="34"/>
      <c r="AE76" s="2"/>
      <c r="AF76" s="7"/>
      <c r="AG76" s="7"/>
      <c r="AH76" s="7"/>
    </row>
    <row r="77" spans="1:34" x14ac:dyDescent="0.4">
      <c r="A77" s="46"/>
      <c r="C77" s="13">
        <v>-20</v>
      </c>
      <c r="D77" s="2"/>
      <c r="E77" s="24"/>
      <c r="F77" s="24"/>
      <c r="G77" s="66">
        <v>9</v>
      </c>
      <c r="H77" s="66">
        <v>4.3600000000000003</v>
      </c>
      <c r="I77" s="7"/>
      <c r="J77" s="24"/>
      <c r="K77" s="66">
        <f t="shared" ref="K77:K78" si="26">G77/H77</f>
        <v>2.0642201834862384</v>
      </c>
      <c r="L77" s="36"/>
      <c r="M77" s="6">
        <v>65</v>
      </c>
      <c r="N77" s="34"/>
      <c r="O77" s="2">
        <v>-20</v>
      </c>
      <c r="P77" s="34"/>
      <c r="Q77" s="24"/>
      <c r="R77" s="24"/>
      <c r="S77" s="66">
        <v>8.1999999999999993</v>
      </c>
      <c r="T77" s="66">
        <v>5.57</v>
      </c>
      <c r="U77" s="24"/>
      <c r="V77" s="24"/>
      <c r="W77" s="66">
        <f t="shared" ref="W77:W78" si="27">S77/T77</f>
        <v>1.4721723518850987</v>
      </c>
      <c r="X77" s="34"/>
      <c r="Y77" s="36"/>
      <c r="Z77" s="24"/>
      <c r="AA77" s="24"/>
      <c r="AB77" s="24"/>
      <c r="AC77" s="24"/>
      <c r="AD77" s="34"/>
      <c r="AE77" s="2" t="s">
        <v>38</v>
      </c>
      <c r="AF77" s="66">
        <v>17</v>
      </c>
      <c r="AG77" s="66">
        <v>4.5199999999999996</v>
      </c>
      <c r="AH77" s="66">
        <f>AF77/AG77</f>
        <v>3.7610619469026552</v>
      </c>
    </row>
    <row r="78" spans="1:34" x14ac:dyDescent="0.4">
      <c r="A78" s="3"/>
      <c r="C78" s="2">
        <v>-15</v>
      </c>
      <c r="D78" s="2"/>
      <c r="E78" s="24"/>
      <c r="F78" s="24"/>
      <c r="G78" s="66">
        <v>10.5</v>
      </c>
      <c r="H78" s="66">
        <v>4.38</v>
      </c>
      <c r="I78" s="7"/>
      <c r="J78" s="24"/>
      <c r="K78" s="66">
        <f t="shared" si="26"/>
        <v>2.397260273972603</v>
      </c>
      <c r="L78" s="36"/>
      <c r="M78" s="6">
        <v>75</v>
      </c>
      <c r="N78" s="34"/>
      <c r="O78" s="2">
        <v>-15</v>
      </c>
      <c r="P78" s="34"/>
      <c r="Q78" s="24"/>
      <c r="R78" s="24"/>
      <c r="S78" s="66">
        <v>9.3000000000000007</v>
      </c>
      <c r="T78" s="66">
        <v>5.57</v>
      </c>
      <c r="U78" s="24"/>
      <c r="V78" s="24"/>
      <c r="W78" s="66">
        <f t="shared" si="27"/>
        <v>1.6696588868940754</v>
      </c>
      <c r="X78" s="34"/>
      <c r="Y78" s="36"/>
      <c r="Z78" s="24"/>
      <c r="AA78" s="24"/>
      <c r="AB78" s="24"/>
      <c r="AC78" s="24"/>
      <c r="AD78" s="34"/>
      <c r="AE78" s="2" t="s">
        <v>40</v>
      </c>
      <c r="AF78" s="66">
        <v>15.5</v>
      </c>
      <c r="AG78" s="66">
        <v>3.27</v>
      </c>
      <c r="AH78" s="66">
        <f>AF78/AG78</f>
        <v>4.7400611620795106</v>
      </c>
    </row>
    <row r="79" spans="1:34" x14ac:dyDescent="0.4">
      <c r="A79" s="3"/>
      <c r="C79" s="2">
        <v>-10</v>
      </c>
      <c r="D79" s="2"/>
      <c r="E79" s="24"/>
      <c r="F79" s="24"/>
      <c r="G79" s="66"/>
      <c r="H79" s="66"/>
      <c r="I79" s="7"/>
      <c r="J79" s="24"/>
      <c r="K79" s="66"/>
      <c r="L79" s="36"/>
      <c r="M79" s="6">
        <v>75</v>
      </c>
      <c r="N79" s="34"/>
      <c r="O79" s="2">
        <v>-10</v>
      </c>
      <c r="P79" s="34"/>
      <c r="Q79" s="24"/>
      <c r="R79" s="24"/>
      <c r="S79" s="66"/>
      <c r="T79" s="66"/>
      <c r="U79" s="24"/>
      <c r="V79" s="24"/>
      <c r="W79" s="66"/>
      <c r="X79" s="34"/>
      <c r="Y79" s="17" t="s">
        <v>39</v>
      </c>
      <c r="Z79" s="66">
        <v>11.2</v>
      </c>
      <c r="AA79" s="66">
        <v>2.83</v>
      </c>
      <c r="AB79" s="66">
        <v>10</v>
      </c>
      <c r="AC79" s="66">
        <v>1.92</v>
      </c>
      <c r="AD79" s="34"/>
      <c r="AF79" s="33"/>
      <c r="AG79" s="33"/>
      <c r="AH79" s="33"/>
    </row>
    <row r="80" spans="1:34" x14ac:dyDescent="0.4">
      <c r="A80" s="3"/>
      <c r="C80" s="2">
        <v>-7</v>
      </c>
      <c r="D80" s="2"/>
      <c r="E80" s="24"/>
      <c r="F80" s="24"/>
      <c r="G80" s="66">
        <v>11.7</v>
      </c>
      <c r="H80" s="66">
        <v>4.45</v>
      </c>
      <c r="I80" s="7"/>
      <c r="J80" s="24"/>
      <c r="K80" s="66">
        <f t="shared" ref="K80:K82" si="28">G80/H80</f>
        <v>2.6292134831460672</v>
      </c>
      <c r="L80" s="36"/>
      <c r="M80" s="6">
        <v>75</v>
      </c>
      <c r="N80" s="34"/>
      <c r="O80" s="2">
        <v>-7</v>
      </c>
      <c r="P80" s="34"/>
      <c r="Q80" s="24"/>
      <c r="R80" s="24"/>
      <c r="S80" s="66">
        <v>10.8</v>
      </c>
      <c r="T80" s="66">
        <v>5.68</v>
      </c>
      <c r="U80" s="24"/>
      <c r="V80" s="24"/>
      <c r="W80" s="66">
        <f t="shared" ref="W80:W82" si="29">S80/T80</f>
        <v>1.9014084507042255</v>
      </c>
      <c r="X80" s="34"/>
      <c r="Y80" s="5">
        <f>AA80*(1.029-(0.05*Z80/G82))</f>
        <v>2.7896274999999999</v>
      </c>
      <c r="Z80" s="66">
        <v>11.6</v>
      </c>
      <c r="AA80" s="66">
        <v>2.81</v>
      </c>
      <c r="AB80" s="66">
        <v>10.8</v>
      </c>
      <c r="AC80" s="66">
        <v>2.04</v>
      </c>
      <c r="AD80" s="34"/>
      <c r="AE80" s="2"/>
      <c r="AF80" s="34"/>
      <c r="AG80" s="34"/>
      <c r="AH80" s="33"/>
    </row>
    <row r="81" spans="1:37" x14ac:dyDescent="0.4">
      <c r="A81" s="3"/>
      <c r="C81" s="2">
        <v>2</v>
      </c>
      <c r="D81" s="2"/>
      <c r="E81" s="24"/>
      <c r="F81" s="24"/>
      <c r="G81" s="66">
        <v>13</v>
      </c>
      <c r="H81" s="66">
        <v>3.94</v>
      </c>
      <c r="I81" s="7"/>
      <c r="J81" s="24"/>
      <c r="K81" s="66">
        <f t="shared" si="28"/>
        <v>3.2994923857868019</v>
      </c>
      <c r="L81" s="36"/>
      <c r="M81" s="6">
        <v>75</v>
      </c>
      <c r="N81" s="34"/>
      <c r="O81" s="2">
        <v>2</v>
      </c>
      <c r="P81" s="34"/>
      <c r="Q81" s="24"/>
      <c r="R81" s="24"/>
      <c r="S81" s="66">
        <v>12</v>
      </c>
      <c r="T81" s="66">
        <v>5.29</v>
      </c>
      <c r="U81" s="24"/>
      <c r="V81" s="24"/>
      <c r="W81" s="66">
        <f t="shared" si="29"/>
        <v>2.2684310018903591</v>
      </c>
      <c r="X81" s="34"/>
      <c r="Y81" s="5">
        <f>AA81*(0.906-(0.044*Z81/G82))</f>
        <v>3.9222112499999997</v>
      </c>
      <c r="Z81" s="66">
        <v>7.5</v>
      </c>
      <c r="AA81" s="66">
        <v>4.43</v>
      </c>
      <c r="AB81" s="66">
        <v>7</v>
      </c>
      <c r="AC81" s="66">
        <v>3.64</v>
      </c>
      <c r="AD81" s="34"/>
      <c r="AE81" s="2"/>
      <c r="AF81" s="34"/>
      <c r="AG81" s="34"/>
      <c r="AH81" s="33"/>
    </row>
    <row r="82" spans="1:37" x14ac:dyDescent="0.4">
      <c r="A82" s="3"/>
      <c r="C82" s="2">
        <v>7</v>
      </c>
      <c r="D82" s="2"/>
      <c r="E82" s="24"/>
      <c r="F82" s="24"/>
      <c r="G82" s="66">
        <v>16</v>
      </c>
      <c r="H82" s="66">
        <v>3.44</v>
      </c>
      <c r="I82" s="7"/>
      <c r="J82" s="24"/>
      <c r="K82" s="66">
        <f t="shared" si="28"/>
        <v>4.6511627906976747</v>
      </c>
      <c r="L82" s="36"/>
      <c r="M82" s="6">
        <v>75</v>
      </c>
      <c r="N82" s="34"/>
      <c r="O82" s="2">
        <v>7</v>
      </c>
      <c r="P82" s="34"/>
      <c r="Q82" s="24"/>
      <c r="R82" s="24"/>
      <c r="S82" s="66">
        <v>14.7</v>
      </c>
      <c r="T82" s="66">
        <v>4.9000000000000004</v>
      </c>
      <c r="U82" s="24"/>
      <c r="V82" s="24"/>
      <c r="W82" s="66">
        <f t="shared" si="29"/>
        <v>2.9999999999999996</v>
      </c>
      <c r="X82" s="34"/>
      <c r="Y82" s="5">
        <f>K82</f>
        <v>4.6511627906976747</v>
      </c>
      <c r="Z82" s="66">
        <v>4.9000000000000004</v>
      </c>
      <c r="AA82" s="66">
        <v>6.35</v>
      </c>
      <c r="AB82" s="66">
        <v>4.7</v>
      </c>
      <c r="AC82" s="66">
        <v>4.76</v>
      </c>
      <c r="AD82" s="34"/>
      <c r="AE82" s="2"/>
      <c r="AF82" s="34"/>
      <c r="AG82" s="34"/>
      <c r="AH82" s="33"/>
    </row>
    <row r="83" spans="1:37" x14ac:dyDescent="0.4">
      <c r="A83" s="3"/>
      <c r="C83" s="2">
        <v>12</v>
      </c>
      <c r="D83" s="2"/>
      <c r="E83" s="24"/>
      <c r="F83" s="24"/>
      <c r="G83" s="26" t="s">
        <v>61</v>
      </c>
      <c r="H83" s="26" t="s">
        <v>61</v>
      </c>
      <c r="I83" s="24"/>
      <c r="J83" s="24"/>
      <c r="K83" s="26" t="s">
        <v>61</v>
      </c>
      <c r="L83" s="36"/>
      <c r="M83" s="6">
        <v>75</v>
      </c>
      <c r="N83" s="34"/>
      <c r="O83" s="2">
        <v>12</v>
      </c>
      <c r="P83" s="34"/>
      <c r="Q83" s="24"/>
      <c r="R83" s="24"/>
      <c r="S83" s="26" t="s">
        <v>61</v>
      </c>
      <c r="T83" s="26" t="s">
        <v>61</v>
      </c>
      <c r="U83" s="24"/>
      <c r="V83" s="24"/>
      <c r="W83" s="26" t="s">
        <v>61</v>
      </c>
      <c r="X83" s="34"/>
      <c r="Y83" s="17"/>
      <c r="Z83" s="66">
        <v>5.7</v>
      </c>
      <c r="AA83" s="66">
        <v>7.68</v>
      </c>
      <c r="AB83" s="66">
        <v>5.4</v>
      </c>
      <c r="AC83" s="66">
        <v>5.57</v>
      </c>
      <c r="AD83" s="34"/>
      <c r="AE83" s="2"/>
      <c r="AF83" s="34"/>
      <c r="AG83" s="34"/>
      <c r="AH83" s="33"/>
    </row>
    <row r="84" spans="1:37" x14ac:dyDescent="0.4">
      <c r="A84" s="8"/>
      <c r="B84" s="8"/>
      <c r="C84" s="9"/>
      <c r="D84" s="9"/>
      <c r="E84" s="18"/>
      <c r="F84" s="18"/>
      <c r="G84" s="22"/>
      <c r="H84" s="22"/>
      <c r="I84" s="22"/>
      <c r="J84" s="22"/>
      <c r="K84" s="22"/>
      <c r="L84" s="18"/>
      <c r="M84" s="18"/>
      <c r="N84" s="18"/>
      <c r="O84" s="18"/>
      <c r="P84" s="18"/>
      <c r="Q84" s="18"/>
      <c r="R84" s="22"/>
      <c r="S84" s="22"/>
      <c r="T84" s="22"/>
      <c r="U84" s="22"/>
      <c r="V84" s="22"/>
      <c r="W84" s="22"/>
      <c r="X84" s="18"/>
      <c r="Y84" s="22"/>
      <c r="Z84" s="22"/>
      <c r="AA84" s="22"/>
      <c r="AB84" s="22"/>
      <c r="AC84" s="22"/>
      <c r="AD84" s="18"/>
      <c r="AE84" s="18"/>
      <c r="AF84" s="18"/>
      <c r="AG84" s="18"/>
      <c r="AH84" s="18"/>
    </row>
    <row r="85" spans="1:37" x14ac:dyDescent="0.4">
      <c r="A85"/>
      <c r="AF85" s="15"/>
      <c r="AG85" s="15"/>
      <c r="AH85" s="15"/>
    </row>
    <row r="86" spans="1:37" x14ac:dyDescent="0.4">
      <c r="A86" s="47" t="s">
        <v>143</v>
      </c>
    </row>
    <row r="88" spans="1:37" x14ac:dyDescent="0.4">
      <c r="A88" s="1" t="s">
        <v>191</v>
      </c>
    </row>
    <row r="89" spans="1:37" s="1" customFormat="1" x14ac:dyDescent="0.4">
      <c r="A89" s="1" t="s">
        <v>195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37" x14ac:dyDescent="0.4">
      <c r="A90" s="1" t="s">
        <v>193</v>
      </c>
    </row>
    <row r="91" spans="1:37" s="1" customFormat="1" x14ac:dyDescent="0.4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37" s="1" customFormat="1" x14ac:dyDescent="0.4">
      <c r="A92" s="1" t="s">
        <v>197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1:37" x14ac:dyDescent="0.4">
      <c r="A93" s="1" t="s">
        <v>199</v>
      </c>
    </row>
    <row r="94" spans="1:37" s="1" customFormat="1" x14ac:dyDescent="0.4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1:37" s="1" customFormat="1" x14ac:dyDescent="0.4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37" x14ac:dyDescent="0.4">
      <c r="A96" s="1" t="s">
        <v>192</v>
      </c>
    </row>
    <row r="97" spans="1:1" x14ac:dyDescent="0.4">
      <c r="A97" s="1" t="s">
        <v>194</v>
      </c>
    </row>
    <row r="98" spans="1:1" x14ac:dyDescent="0.4">
      <c r="A98" s="1" t="s">
        <v>196</v>
      </c>
    </row>
    <row r="100" spans="1:1" x14ac:dyDescent="0.4">
      <c r="A100" s="1" t="s">
        <v>198</v>
      </c>
    </row>
    <row r="101" spans="1:1" x14ac:dyDescent="0.4">
      <c r="A101" s="1" t="s">
        <v>199</v>
      </c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28D5-5F3D-4ADA-B0CA-F12BD6BD1A93}">
  <sheetPr>
    <tabColor rgb="FFFFC000"/>
  </sheetPr>
  <dimension ref="A1:AK100"/>
  <sheetViews>
    <sheetView zoomScale="55" zoomScaleNormal="55" workbookViewId="0">
      <selection activeCell="AR54" sqref="AR54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164</v>
      </c>
      <c r="B5" s="1" t="s">
        <v>161</v>
      </c>
      <c r="C5" s="4"/>
      <c r="D5" s="2"/>
      <c r="E5" s="61"/>
      <c r="F5" s="24"/>
      <c r="G5" s="24"/>
      <c r="H5" s="24"/>
      <c r="I5" s="24"/>
      <c r="J5" s="24"/>
      <c r="K5" s="24"/>
      <c r="L5" s="36"/>
      <c r="M5" s="27"/>
      <c r="N5" s="34"/>
      <c r="O5" s="64"/>
      <c r="P5" s="34"/>
      <c r="Q5" s="24"/>
      <c r="R5" s="7"/>
      <c r="S5" s="7"/>
      <c r="T5" s="7"/>
      <c r="U5" s="24"/>
      <c r="V5" s="24"/>
      <c r="W5" s="24"/>
      <c r="X5" s="43">
        <v>3</v>
      </c>
      <c r="Y5" s="36"/>
      <c r="Z5" s="24"/>
      <c r="AA5" s="24"/>
      <c r="AB5" s="24"/>
      <c r="AC5" s="24"/>
      <c r="AD5" s="34"/>
      <c r="AE5" s="2" t="s">
        <v>37</v>
      </c>
      <c r="AF5" s="66">
        <v>12</v>
      </c>
      <c r="AG5" s="66">
        <v>3.7</v>
      </c>
      <c r="AH5" s="66">
        <f>AF5/AG5</f>
        <v>3.243243243243243</v>
      </c>
    </row>
    <row r="6" spans="1:37" x14ac:dyDescent="0.4">
      <c r="A6" s="3"/>
      <c r="C6" s="13">
        <v>-25</v>
      </c>
      <c r="D6" s="2"/>
      <c r="E6" s="61"/>
      <c r="F6" s="7"/>
      <c r="G6" s="66">
        <v>7.2</v>
      </c>
      <c r="H6" s="66">
        <v>3.85</v>
      </c>
      <c r="I6" s="7"/>
      <c r="J6" s="24"/>
      <c r="K6" s="66">
        <f>G6/H6</f>
        <v>1.8701298701298701</v>
      </c>
      <c r="L6" s="36"/>
      <c r="M6" s="6">
        <v>55</v>
      </c>
      <c r="N6" s="34"/>
      <c r="O6" s="2">
        <v>-25</v>
      </c>
      <c r="P6" s="34"/>
      <c r="Q6" s="24"/>
      <c r="R6" s="7"/>
      <c r="S6" s="66">
        <v>7.1</v>
      </c>
      <c r="T6" s="66">
        <v>5.68</v>
      </c>
      <c r="U6" s="7"/>
      <c r="V6" s="24"/>
      <c r="W6" s="66">
        <f>S6/T6</f>
        <v>1.25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7"/>
      <c r="G7" s="66">
        <v>8.1</v>
      </c>
      <c r="H7" s="66">
        <v>3.85</v>
      </c>
      <c r="I7" s="7"/>
      <c r="J7" s="24"/>
      <c r="K7" s="66">
        <f t="shared" ref="K7:K8" si="0">G7/H7</f>
        <v>2.1038961038961039</v>
      </c>
      <c r="L7" s="36"/>
      <c r="M7" s="6">
        <v>65</v>
      </c>
      <c r="N7" s="34"/>
      <c r="O7" s="2">
        <v>-20</v>
      </c>
      <c r="P7" s="34"/>
      <c r="Q7" s="24"/>
      <c r="R7" s="7"/>
      <c r="S7" s="66">
        <v>7.8</v>
      </c>
      <c r="T7" s="66">
        <v>5.21</v>
      </c>
      <c r="U7" s="7"/>
      <c r="V7" s="24"/>
      <c r="W7" s="66">
        <f t="shared" ref="W7:W8" si="1">S7/T7</f>
        <v>1.4971209213051824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15</v>
      </c>
      <c r="AG7" s="66">
        <v>3.9</v>
      </c>
      <c r="AH7" s="66">
        <f>AF7/AG7</f>
        <v>3.8461538461538463</v>
      </c>
    </row>
    <row r="8" spans="1:37" x14ac:dyDescent="0.4">
      <c r="A8" s="3"/>
      <c r="C8" s="2">
        <v>-15</v>
      </c>
      <c r="D8" s="2"/>
      <c r="E8" s="61"/>
      <c r="F8" s="7"/>
      <c r="G8" s="66">
        <v>9.4</v>
      </c>
      <c r="H8" s="66">
        <v>3.78</v>
      </c>
      <c r="I8" s="7"/>
      <c r="J8" s="24"/>
      <c r="K8" s="66">
        <f t="shared" si="0"/>
        <v>2.486772486772487</v>
      </c>
      <c r="L8" s="36"/>
      <c r="M8" s="6">
        <v>75</v>
      </c>
      <c r="N8" s="34"/>
      <c r="O8" s="2">
        <v>-15</v>
      </c>
      <c r="P8" s="34"/>
      <c r="Q8" s="24"/>
      <c r="R8" s="7"/>
      <c r="S8" s="66">
        <v>8.8000000000000007</v>
      </c>
      <c r="T8" s="66">
        <v>5.2</v>
      </c>
      <c r="U8" s="7"/>
      <c r="V8" s="24"/>
      <c r="W8" s="66">
        <f t="shared" si="1"/>
        <v>1.6923076923076923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12</v>
      </c>
      <c r="AG8" s="66">
        <v>2.4</v>
      </c>
      <c r="AH8" s="66">
        <f>AF8/AG8</f>
        <v>5</v>
      </c>
    </row>
    <row r="9" spans="1:37" x14ac:dyDescent="0.4">
      <c r="A9" s="3"/>
      <c r="C9" s="2">
        <v>-10</v>
      </c>
      <c r="D9" s="2"/>
      <c r="E9" s="61"/>
      <c r="F9" s="7"/>
      <c r="G9" s="43"/>
      <c r="H9" s="43"/>
      <c r="I9" s="7"/>
      <c r="J9" s="24"/>
      <c r="K9" s="29" t="s">
        <v>61</v>
      </c>
      <c r="L9" s="36"/>
      <c r="M9" s="6">
        <v>75</v>
      </c>
      <c r="N9" s="34"/>
      <c r="O9" s="2">
        <v>-10</v>
      </c>
      <c r="P9" s="34"/>
      <c r="Q9" s="24"/>
      <c r="R9" s="7"/>
      <c r="S9" s="43"/>
      <c r="T9" s="43"/>
      <c r="U9" s="7"/>
      <c r="V9" s="24"/>
      <c r="W9" s="29" t="s">
        <v>61</v>
      </c>
      <c r="X9" s="34"/>
      <c r="Y9" s="36" t="s">
        <v>39</v>
      </c>
      <c r="Z9" s="66">
        <v>10</v>
      </c>
      <c r="AA9" s="66">
        <v>2.76</v>
      </c>
      <c r="AB9" s="66">
        <v>9.8000000000000007</v>
      </c>
      <c r="AC9" s="66">
        <v>1.83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7"/>
      <c r="G10" s="66">
        <v>10.5</v>
      </c>
      <c r="H10" s="66">
        <v>3.5</v>
      </c>
      <c r="I10" s="7"/>
      <c r="J10" s="24"/>
      <c r="K10" s="66">
        <f>G10/H10</f>
        <v>3</v>
      </c>
      <c r="L10" s="36"/>
      <c r="M10" s="6">
        <v>75</v>
      </c>
      <c r="N10" s="34"/>
      <c r="O10" s="2">
        <v>-7</v>
      </c>
      <c r="P10" s="34"/>
      <c r="Q10" s="24"/>
      <c r="R10" s="7"/>
      <c r="S10" s="66">
        <v>10</v>
      </c>
      <c r="T10" s="66">
        <v>5.08</v>
      </c>
      <c r="U10" s="7"/>
      <c r="V10" s="24"/>
      <c r="W10" s="66">
        <f>S10/T10</f>
        <v>1.9685039370078741</v>
      </c>
      <c r="X10" s="34"/>
      <c r="Y10" s="5">
        <f>AA10*(1.029-(0.05*Z10/G12))</f>
        <v>2.9001124324324321</v>
      </c>
      <c r="Z10" s="66">
        <v>10.6</v>
      </c>
      <c r="AA10" s="66">
        <v>2.92</v>
      </c>
      <c r="AB10" s="66">
        <v>10</v>
      </c>
      <c r="AC10" s="66">
        <v>2.04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7"/>
      <c r="G11" s="66">
        <v>12.5</v>
      </c>
      <c r="H11" s="66">
        <v>3.71</v>
      </c>
      <c r="I11" s="7"/>
      <c r="J11" s="24"/>
      <c r="K11" s="66">
        <f t="shared" ref="K11:K12" si="2">G11/H11</f>
        <v>3.3692722371967654</v>
      </c>
      <c r="L11" s="36"/>
      <c r="M11" s="6">
        <v>75</v>
      </c>
      <c r="N11" s="34"/>
      <c r="O11" s="2">
        <v>2</v>
      </c>
      <c r="P11" s="34"/>
      <c r="Q11" s="24"/>
      <c r="R11" s="7"/>
      <c r="S11" s="66">
        <v>12</v>
      </c>
      <c r="T11" s="66">
        <v>5.29</v>
      </c>
      <c r="U11" s="7"/>
      <c r="V11" s="24"/>
      <c r="W11" s="66">
        <f t="shared" ref="W11:W12" si="3">S11/T11</f>
        <v>2.2684310018903591</v>
      </c>
      <c r="X11" s="34"/>
      <c r="Y11" s="5">
        <f>AA11*(0.906-(0.044*Z11/G12))</f>
        <v>4.0698413513513518</v>
      </c>
      <c r="Z11" s="66">
        <v>6.5</v>
      </c>
      <c r="AA11" s="66">
        <v>4.59</v>
      </c>
      <c r="AB11" s="66">
        <v>6.5</v>
      </c>
      <c r="AC11" s="66">
        <v>3.56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7"/>
      <c r="G12" s="66">
        <v>14.8</v>
      </c>
      <c r="H12" s="66">
        <v>3.14</v>
      </c>
      <c r="I12" s="7"/>
      <c r="J12" s="24"/>
      <c r="K12" s="66">
        <f t="shared" si="2"/>
        <v>4.7133757961783438</v>
      </c>
      <c r="L12" s="36"/>
      <c r="M12" s="6">
        <v>75</v>
      </c>
      <c r="N12" s="34"/>
      <c r="O12" s="2">
        <v>7</v>
      </c>
      <c r="P12" s="34"/>
      <c r="Q12" s="24"/>
      <c r="R12" s="7"/>
      <c r="S12" s="66">
        <v>14.1</v>
      </c>
      <c r="T12" s="66">
        <v>4.67</v>
      </c>
      <c r="U12" s="7"/>
      <c r="V12" s="24"/>
      <c r="W12" s="66">
        <f t="shared" si="3"/>
        <v>3.0192719486081372</v>
      </c>
      <c r="X12" s="34"/>
      <c r="Y12" s="5">
        <f>K12</f>
        <v>4.7133757961783438</v>
      </c>
      <c r="Z12" s="66">
        <v>4.8</v>
      </c>
      <c r="AA12" s="66">
        <v>5.98</v>
      </c>
      <c r="AB12" s="66">
        <v>4.7</v>
      </c>
      <c r="AC12" s="66">
        <v>4.5999999999999996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7"/>
      <c r="G13" s="43" t="s">
        <v>61</v>
      </c>
      <c r="H13" s="43" t="s">
        <v>61</v>
      </c>
      <c r="I13" s="24"/>
      <c r="J13" s="24"/>
      <c r="K13" s="26" t="s">
        <v>61</v>
      </c>
      <c r="L13" s="36"/>
      <c r="M13" s="6">
        <v>75</v>
      </c>
      <c r="N13" s="34"/>
      <c r="O13" s="2">
        <v>12</v>
      </c>
      <c r="P13" s="34"/>
      <c r="Q13" s="24"/>
      <c r="R13" s="7"/>
      <c r="S13" s="43" t="s">
        <v>61</v>
      </c>
      <c r="T13" s="43" t="s">
        <v>61</v>
      </c>
      <c r="U13" s="7"/>
      <c r="V13" s="24"/>
      <c r="W13" s="26" t="s">
        <v>61</v>
      </c>
      <c r="X13" s="34"/>
      <c r="Y13" s="36"/>
      <c r="Z13" s="66">
        <v>5.5</v>
      </c>
      <c r="AA13" s="66">
        <v>7.54</v>
      </c>
      <c r="AB13" s="66">
        <v>5.2</v>
      </c>
      <c r="AC13" s="66">
        <v>5.52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30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 t="s">
        <v>165</v>
      </c>
      <c r="B15" s="1" t="s">
        <v>161</v>
      </c>
      <c r="C15" s="4"/>
      <c r="D15" s="2"/>
      <c r="E15" s="61"/>
      <c r="F15" s="24"/>
      <c r="G15" s="24"/>
      <c r="H15" s="24"/>
      <c r="I15" s="24"/>
      <c r="J15" s="24"/>
      <c r="K15" s="24"/>
      <c r="L15" s="36"/>
      <c r="M15" s="27"/>
      <c r="N15" s="34"/>
      <c r="O15" s="64"/>
      <c r="P15" s="34"/>
      <c r="Q15" s="24"/>
      <c r="R15" s="24"/>
      <c r="S15" s="24"/>
      <c r="T15" s="24"/>
      <c r="U15" s="24"/>
      <c r="V15" s="24"/>
      <c r="W15" s="24"/>
      <c r="X15" s="43">
        <v>6</v>
      </c>
      <c r="Y15" s="36"/>
      <c r="Z15" s="24"/>
      <c r="AA15" s="24"/>
      <c r="AB15" s="24"/>
      <c r="AC15" s="24"/>
      <c r="AD15" s="34"/>
      <c r="AE15" s="2" t="s">
        <v>37</v>
      </c>
      <c r="AF15" s="66">
        <v>12</v>
      </c>
      <c r="AG15" s="66">
        <v>3.7</v>
      </c>
      <c r="AH15" s="66">
        <f>AF15/AG15</f>
        <v>3.243243243243243</v>
      </c>
    </row>
    <row r="16" spans="1:37" x14ac:dyDescent="0.4">
      <c r="A16" s="3"/>
      <c r="C16" s="13">
        <v>-25</v>
      </c>
      <c r="D16" s="2"/>
      <c r="E16" s="61"/>
      <c r="F16" s="7"/>
      <c r="G16" s="66">
        <v>7.2</v>
      </c>
      <c r="H16" s="66">
        <v>3.85</v>
      </c>
      <c r="I16" s="7"/>
      <c r="J16" s="24"/>
      <c r="K16" s="66">
        <f>G16/H16</f>
        <v>1.8701298701298701</v>
      </c>
      <c r="L16" s="36"/>
      <c r="M16" s="6">
        <v>55</v>
      </c>
      <c r="N16" s="34"/>
      <c r="O16" s="2">
        <v>-25</v>
      </c>
      <c r="P16" s="34"/>
      <c r="Q16" s="24"/>
      <c r="R16" s="7"/>
      <c r="S16" s="66">
        <v>7.1</v>
      </c>
      <c r="T16" s="66">
        <v>5.68</v>
      </c>
      <c r="U16" s="7"/>
      <c r="V16" s="24"/>
      <c r="W16" s="66">
        <f>S16/T16</f>
        <v>1.25</v>
      </c>
      <c r="X16" s="34"/>
      <c r="Y16" s="36"/>
      <c r="Z16" s="24"/>
      <c r="AA16" s="24"/>
      <c r="AB16" s="24"/>
      <c r="AC16" s="24"/>
      <c r="AD16" s="34"/>
      <c r="AE16" s="2"/>
      <c r="AF16" s="7"/>
      <c r="AG16" s="7"/>
      <c r="AH16" s="7"/>
    </row>
    <row r="17" spans="1:34" x14ac:dyDescent="0.4">
      <c r="A17" s="46"/>
      <c r="C17" s="13">
        <v>-20</v>
      </c>
      <c r="D17" s="2"/>
      <c r="E17" s="61"/>
      <c r="F17" s="7"/>
      <c r="G17" s="66">
        <v>8.1</v>
      </c>
      <c r="H17" s="66">
        <v>3.85</v>
      </c>
      <c r="I17" s="7"/>
      <c r="J17" s="24"/>
      <c r="K17" s="66">
        <f t="shared" ref="K17:K18" si="4">G17/H17</f>
        <v>2.1038961038961039</v>
      </c>
      <c r="L17" s="36"/>
      <c r="M17" s="6">
        <v>65</v>
      </c>
      <c r="N17" s="34"/>
      <c r="O17" s="2">
        <v>-20</v>
      </c>
      <c r="P17" s="34"/>
      <c r="Q17" s="24"/>
      <c r="R17" s="7"/>
      <c r="S17" s="66">
        <v>7.8</v>
      </c>
      <c r="T17" s="66">
        <v>5.21</v>
      </c>
      <c r="U17" s="7"/>
      <c r="V17" s="24"/>
      <c r="W17" s="66">
        <f t="shared" ref="W17:W18" si="5">S17/T17</f>
        <v>1.4971209213051824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6">
        <v>15</v>
      </c>
      <c r="AG17" s="66">
        <v>3.9</v>
      </c>
      <c r="AH17" s="66">
        <f>AF17/AG17</f>
        <v>3.8461538461538463</v>
      </c>
    </row>
    <row r="18" spans="1:34" x14ac:dyDescent="0.4">
      <c r="A18" s="3"/>
      <c r="C18" s="2">
        <v>-15</v>
      </c>
      <c r="D18" s="2"/>
      <c r="E18" s="61"/>
      <c r="F18" s="7"/>
      <c r="G18" s="66">
        <v>9.4</v>
      </c>
      <c r="H18" s="66">
        <v>3.78</v>
      </c>
      <c r="I18" s="7"/>
      <c r="J18" s="24"/>
      <c r="K18" s="66">
        <f t="shared" si="4"/>
        <v>2.486772486772487</v>
      </c>
      <c r="L18" s="36"/>
      <c r="M18" s="6">
        <v>75</v>
      </c>
      <c r="N18" s="34"/>
      <c r="O18" s="2">
        <v>-15</v>
      </c>
      <c r="P18" s="34"/>
      <c r="Q18" s="24"/>
      <c r="R18" s="7"/>
      <c r="S18" s="66">
        <v>8.8000000000000007</v>
      </c>
      <c r="T18" s="66">
        <v>5.2</v>
      </c>
      <c r="U18" s="7"/>
      <c r="V18" s="24"/>
      <c r="W18" s="66">
        <f t="shared" si="5"/>
        <v>1.6923076923076923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6">
        <v>12</v>
      </c>
      <c r="AG18" s="66">
        <v>2.4</v>
      </c>
      <c r="AH18" s="66">
        <f>AF18/AG18</f>
        <v>5</v>
      </c>
    </row>
    <row r="19" spans="1:34" x14ac:dyDescent="0.4">
      <c r="A19" s="3"/>
      <c r="C19" s="2">
        <v>-10</v>
      </c>
      <c r="D19" s="2"/>
      <c r="E19" s="61"/>
      <c r="F19" s="7"/>
      <c r="G19" s="43"/>
      <c r="H19" s="43"/>
      <c r="I19" s="7"/>
      <c r="J19" s="24"/>
      <c r="K19" s="29" t="s">
        <v>61</v>
      </c>
      <c r="L19" s="36"/>
      <c r="M19" s="6">
        <v>75</v>
      </c>
      <c r="N19" s="34"/>
      <c r="O19" s="2">
        <v>-10</v>
      </c>
      <c r="P19" s="34"/>
      <c r="Q19" s="24"/>
      <c r="R19" s="7"/>
      <c r="S19" s="43"/>
      <c r="T19" s="43"/>
      <c r="U19" s="7"/>
      <c r="V19" s="24"/>
      <c r="W19" s="29" t="s">
        <v>61</v>
      </c>
      <c r="X19" s="34"/>
      <c r="Y19" s="36" t="s">
        <v>39</v>
      </c>
      <c r="Z19" s="66">
        <v>10</v>
      </c>
      <c r="AA19" s="66">
        <v>2.76</v>
      </c>
      <c r="AB19" s="66">
        <v>9.8000000000000007</v>
      </c>
      <c r="AC19" s="66">
        <v>1.83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61"/>
      <c r="F20" s="7"/>
      <c r="G20" s="66">
        <v>10.5</v>
      </c>
      <c r="H20" s="66">
        <v>3.5</v>
      </c>
      <c r="I20" s="7"/>
      <c r="J20" s="24"/>
      <c r="K20" s="66">
        <f>G20/H20</f>
        <v>3</v>
      </c>
      <c r="L20" s="36"/>
      <c r="M20" s="6">
        <v>75</v>
      </c>
      <c r="N20" s="34"/>
      <c r="O20" s="2">
        <v>-7</v>
      </c>
      <c r="P20" s="34"/>
      <c r="Q20" s="24"/>
      <c r="R20" s="7"/>
      <c r="S20" s="66">
        <v>10</v>
      </c>
      <c r="T20" s="66">
        <v>5.08</v>
      </c>
      <c r="U20" s="7"/>
      <c r="V20" s="24"/>
      <c r="W20" s="66">
        <f>S20/T20</f>
        <v>1.9685039370078741</v>
      </c>
      <c r="X20" s="34"/>
      <c r="Y20" s="5">
        <f>AA20*(1.029-(0.05*Z20/G22))</f>
        <v>2.9001124324324321</v>
      </c>
      <c r="Z20" s="66">
        <v>10.6</v>
      </c>
      <c r="AA20" s="66">
        <v>2.92</v>
      </c>
      <c r="AB20" s="66">
        <v>10</v>
      </c>
      <c r="AC20" s="66">
        <v>2.04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61"/>
      <c r="F21" s="7"/>
      <c r="G21" s="66">
        <v>12.5</v>
      </c>
      <c r="H21" s="66">
        <v>3.71</v>
      </c>
      <c r="I21" s="7"/>
      <c r="J21" s="24"/>
      <c r="K21" s="66">
        <f t="shared" ref="K21:K22" si="6">G21/H21</f>
        <v>3.3692722371967654</v>
      </c>
      <c r="L21" s="36"/>
      <c r="M21" s="6">
        <v>75</v>
      </c>
      <c r="N21" s="34"/>
      <c r="O21" s="2">
        <v>2</v>
      </c>
      <c r="P21" s="34"/>
      <c r="Q21" s="24"/>
      <c r="R21" s="7"/>
      <c r="S21" s="66">
        <v>12</v>
      </c>
      <c r="T21" s="66">
        <v>5.29</v>
      </c>
      <c r="U21" s="7"/>
      <c r="V21" s="24"/>
      <c r="W21" s="66">
        <f t="shared" ref="W21:W22" si="7">S21/T21</f>
        <v>2.2684310018903591</v>
      </c>
      <c r="X21" s="34"/>
      <c r="Y21" s="5">
        <f>AA21*(0.906-(0.044*Z21/G22))</f>
        <v>4.0698413513513518</v>
      </c>
      <c r="Z21" s="66">
        <v>6.5</v>
      </c>
      <c r="AA21" s="66">
        <v>4.59</v>
      </c>
      <c r="AB21" s="66">
        <v>6.5</v>
      </c>
      <c r="AC21" s="66">
        <v>3.56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61"/>
      <c r="F22" s="7"/>
      <c r="G22" s="66">
        <v>14.8</v>
      </c>
      <c r="H22" s="66">
        <v>3.14</v>
      </c>
      <c r="I22" s="7"/>
      <c r="J22" s="24"/>
      <c r="K22" s="66">
        <f t="shared" si="6"/>
        <v>4.7133757961783438</v>
      </c>
      <c r="L22" s="36"/>
      <c r="M22" s="6">
        <v>75</v>
      </c>
      <c r="N22" s="34"/>
      <c r="O22" s="2">
        <v>7</v>
      </c>
      <c r="P22" s="34"/>
      <c r="Q22" s="24"/>
      <c r="R22" s="7"/>
      <c r="S22" s="66">
        <v>14.1</v>
      </c>
      <c r="T22" s="66">
        <v>4.67</v>
      </c>
      <c r="U22" s="7"/>
      <c r="V22" s="24"/>
      <c r="W22" s="66">
        <f t="shared" si="7"/>
        <v>3.0192719486081372</v>
      </c>
      <c r="X22" s="34"/>
      <c r="Y22" s="5">
        <f>K22</f>
        <v>4.7133757961783438</v>
      </c>
      <c r="Z22" s="66">
        <v>4.8</v>
      </c>
      <c r="AA22" s="66">
        <v>5.98</v>
      </c>
      <c r="AB22" s="66">
        <v>4.7</v>
      </c>
      <c r="AC22" s="66">
        <v>4.5999999999999996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61"/>
      <c r="F23" s="7"/>
      <c r="G23" s="43" t="s">
        <v>61</v>
      </c>
      <c r="H23" s="43" t="s">
        <v>61</v>
      </c>
      <c r="I23" s="7"/>
      <c r="J23" s="24"/>
      <c r="K23" s="26" t="s">
        <v>61</v>
      </c>
      <c r="L23" s="36"/>
      <c r="M23" s="6">
        <v>75</v>
      </c>
      <c r="N23" s="34"/>
      <c r="O23" s="2">
        <v>12</v>
      </c>
      <c r="P23" s="34"/>
      <c r="Q23" s="24"/>
      <c r="R23" s="7"/>
      <c r="S23" s="43" t="s">
        <v>61</v>
      </c>
      <c r="T23" s="43" t="s">
        <v>61</v>
      </c>
      <c r="U23" s="7"/>
      <c r="V23" s="24"/>
      <c r="W23" s="26" t="s">
        <v>61</v>
      </c>
      <c r="X23" s="34"/>
      <c r="Y23" s="36"/>
      <c r="Z23" s="66">
        <v>5.5</v>
      </c>
      <c r="AA23" s="66">
        <v>7.54</v>
      </c>
      <c r="AB23" s="66">
        <v>5.2</v>
      </c>
      <c r="AC23" s="66">
        <v>5.52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30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 t="s">
        <v>166</v>
      </c>
      <c r="B25" s="1" t="s">
        <v>161</v>
      </c>
      <c r="C25" s="4"/>
      <c r="D25" s="2"/>
      <c r="E25" s="61"/>
      <c r="F25" s="24"/>
      <c r="G25" s="24"/>
      <c r="H25" s="24"/>
      <c r="I25" s="24"/>
      <c r="J25" s="24"/>
      <c r="K25" s="24"/>
      <c r="L25" s="36"/>
      <c r="M25" s="27"/>
      <c r="N25" s="34"/>
      <c r="O25" s="64"/>
      <c r="P25" s="34"/>
      <c r="Q25" s="24"/>
      <c r="R25" s="24"/>
      <c r="S25" s="24"/>
      <c r="T25" s="24"/>
      <c r="U25" s="24"/>
      <c r="V25" s="24"/>
      <c r="W25" s="24"/>
      <c r="X25" s="43">
        <v>3</v>
      </c>
      <c r="Y25" s="36"/>
      <c r="Z25" s="24"/>
      <c r="AA25" s="24"/>
      <c r="AB25" s="24"/>
      <c r="AC25" s="24"/>
      <c r="AD25" s="34"/>
      <c r="AE25" s="2" t="s">
        <v>37</v>
      </c>
      <c r="AF25" s="66">
        <v>12</v>
      </c>
      <c r="AG25" s="66">
        <v>3.7</v>
      </c>
      <c r="AH25" s="66">
        <f>AF25/AG25</f>
        <v>3.243243243243243</v>
      </c>
    </row>
    <row r="26" spans="1:34" x14ac:dyDescent="0.4">
      <c r="A26" s="3"/>
      <c r="C26" s="13">
        <v>-25</v>
      </c>
      <c r="D26" s="2"/>
      <c r="E26" s="61"/>
      <c r="F26" s="24"/>
      <c r="G26" s="66">
        <v>7.2</v>
      </c>
      <c r="H26" s="66">
        <v>3.85</v>
      </c>
      <c r="I26" s="24"/>
      <c r="J26" s="24"/>
      <c r="K26" s="66">
        <f>G26/H26</f>
        <v>1.8701298701298701</v>
      </c>
      <c r="L26" s="36"/>
      <c r="M26" s="6">
        <v>55</v>
      </c>
      <c r="N26" s="34"/>
      <c r="O26" s="2">
        <v>-25</v>
      </c>
      <c r="P26" s="34"/>
      <c r="Q26" s="24"/>
      <c r="R26" s="7"/>
      <c r="S26" s="66">
        <v>7.1</v>
      </c>
      <c r="T26" s="66">
        <v>5.68</v>
      </c>
      <c r="U26" s="24"/>
      <c r="V26" s="24"/>
      <c r="W26" s="66">
        <f>S26/T26</f>
        <v>1.25</v>
      </c>
      <c r="X26" s="34"/>
      <c r="Y26" s="36"/>
      <c r="Z26" s="24"/>
      <c r="AA26" s="24"/>
      <c r="AB26" s="24"/>
      <c r="AC26" s="24"/>
      <c r="AD26" s="34"/>
      <c r="AE26" s="2"/>
      <c r="AF26" s="7"/>
      <c r="AG26" s="7"/>
      <c r="AH26" s="7"/>
    </row>
    <row r="27" spans="1:34" x14ac:dyDescent="0.4">
      <c r="A27" s="46"/>
      <c r="C27" s="13">
        <v>-20</v>
      </c>
      <c r="D27" s="2"/>
      <c r="E27" s="61"/>
      <c r="F27" s="24"/>
      <c r="G27" s="66">
        <v>8.1</v>
      </c>
      <c r="H27" s="66">
        <v>3.85</v>
      </c>
      <c r="I27" s="24"/>
      <c r="J27" s="24"/>
      <c r="K27" s="66">
        <f t="shared" ref="K27:K28" si="8">G27/H27</f>
        <v>2.1038961038961039</v>
      </c>
      <c r="L27" s="36"/>
      <c r="M27" s="6">
        <v>65</v>
      </c>
      <c r="N27" s="34"/>
      <c r="O27" s="2">
        <v>-20</v>
      </c>
      <c r="P27" s="34"/>
      <c r="Q27" s="24"/>
      <c r="R27" s="7"/>
      <c r="S27" s="66">
        <v>7.8</v>
      </c>
      <c r="T27" s="66">
        <v>5.21</v>
      </c>
      <c r="U27" s="24"/>
      <c r="V27" s="24"/>
      <c r="W27" s="66">
        <f t="shared" ref="W27:W28" si="9">S27/T27</f>
        <v>1.4971209213051824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6">
        <v>15</v>
      </c>
      <c r="AG27" s="66">
        <v>3.9</v>
      </c>
      <c r="AH27" s="66">
        <f>AF27/AG27</f>
        <v>3.8461538461538463</v>
      </c>
    </row>
    <row r="28" spans="1:34" x14ac:dyDescent="0.4">
      <c r="A28" s="3"/>
      <c r="C28" s="2">
        <v>-15</v>
      </c>
      <c r="D28" s="2"/>
      <c r="E28" s="61"/>
      <c r="F28" s="24"/>
      <c r="G28" s="66">
        <v>9.4</v>
      </c>
      <c r="H28" s="66">
        <v>3.78</v>
      </c>
      <c r="I28" s="24"/>
      <c r="J28" s="24"/>
      <c r="K28" s="66">
        <f t="shared" si="8"/>
        <v>2.486772486772487</v>
      </c>
      <c r="L28" s="36"/>
      <c r="M28" s="6">
        <v>75</v>
      </c>
      <c r="N28" s="34"/>
      <c r="O28" s="2">
        <v>-15</v>
      </c>
      <c r="P28" s="34"/>
      <c r="Q28" s="24"/>
      <c r="R28" s="7"/>
      <c r="S28" s="66">
        <v>8.8000000000000007</v>
      </c>
      <c r="T28" s="66">
        <v>5.2</v>
      </c>
      <c r="U28" s="24"/>
      <c r="V28" s="24"/>
      <c r="W28" s="66">
        <f t="shared" si="9"/>
        <v>1.6923076923076923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6">
        <v>12</v>
      </c>
      <c r="AG28" s="66">
        <v>2.4</v>
      </c>
      <c r="AH28" s="66">
        <f>AF28/AG28</f>
        <v>5</v>
      </c>
    </row>
    <row r="29" spans="1:34" x14ac:dyDescent="0.4">
      <c r="A29" s="3"/>
      <c r="C29" s="2">
        <v>-10</v>
      </c>
      <c r="D29" s="2"/>
      <c r="E29" s="61"/>
      <c r="F29" s="24"/>
      <c r="G29" s="43"/>
      <c r="H29" s="43"/>
      <c r="I29" s="24"/>
      <c r="J29" s="24"/>
      <c r="K29" s="29" t="s">
        <v>61</v>
      </c>
      <c r="L29" s="36"/>
      <c r="M29" s="6">
        <v>75</v>
      </c>
      <c r="N29" s="34"/>
      <c r="O29" s="2">
        <v>-10</v>
      </c>
      <c r="P29" s="34"/>
      <c r="Q29" s="24"/>
      <c r="R29" s="7"/>
      <c r="S29" s="43"/>
      <c r="T29" s="43"/>
      <c r="U29" s="24"/>
      <c r="V29" s="24"/>
      <c r="W29" s="29" t="s">
        <v>61</v>
      </c>
      <c r="X29" s="34"/>
      <c r="Y29" s="36" t="s">
        <v>39</v>
      </c>
      <c r="Z29" s="66">
        <v>10</v>
      </c>
      <c r="AA29" s="66">
        <v>2.76</v>
      </c>
      <c r="AB29" s="66">
        <v>9.8000000000000007</v>
      </c>
      <c r="AC29" s="66">
        <v>1.83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61"/>
      <c r="F30" s="24"/>
      <c r="G30" s="66">
        <v>10.5</v>
      </c>
      <c r="H30" s="66">
        <v>3.5</v>
      </c>
      <c r="I30" s="24"/>
      <c r="J30" s="24"/>
      <c r="K30" s="66">
        <f>G30/H30</f>
        <v>3</v>
      </c>
      <c r="L30" s="36"/>
      <c r="M30" s="6">
        <v>75</v>
      </c>
      <c r="N30" s="34"/>
      <c r="O30" s="2">
        <v>-7</v>
      </c>
      <c r="P30" s="34"/>
      <c r="Q30" s="24"/>
      <c r="R30" s="7"/>
      <c r="S30" s="66">
        <v>10</v>
      </c>
      <c r="T30" s="66">
        <v>5.08</v>
      </c>
      <c r="U30" s="24"/>
      <c r="V30" s="24"/>
      <c r="W30" s="66">
        <f>S30/T30</f>
        <v>1.9685039370078741</v>
      </c>
      <c r="X30" s="34"/>
      <c r="Y30" s="5">
        <f>AA30*(1.029-(0.05*Z30/G32))</f>
        <v>2.9001124324324321</v>
      </c>
      <c r="Z30" s="66">
        <v>10.6</v>
      </c>
      <c r="AA30" s="66">
        <v>2.92</v>
      </c>
      <c r="AB30" s="66">
        <v>10</v>
      </c>
      <c r="AC30" s="66">
        <v>2.04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61"/>
      <c r="F31" s="24"/>
      <c r="G31" s="66">
        <v>12.5</v>
      </c>
      <c r="H31" s="66">
        <v>3.71</v>
      </c>
      <c r="I31" s="24"/>
      <c r="J31" s="24"/>
      <c r="K31" s="66">
        <f t="shared" ref="K31:K32" si="10">G31/H31</f>
        <v>3.3692722371967654</v>
      </c>
      <c r="L31" s="36"/>
      <c r="M31" s="6">
        <v>75</v>
      </c>
      <c r="N31" s="34"/>
      <c r="O31" s="2">
        <v>2</v>
      </c>
      <c r="P31" s="34"/>
      <c r="Q31" s="24"/>
      <c r="R31" s="7"/>
      <c r="S31" s="66">
        <v>12</v>
      </c>
      <c r="T31" s="66">
        <v>5.29</v>
      </c>
      <c r="U31" s="24"/>
      <c r="V31" s="24"/>
      <c r="W31" s="66">
        <f t="shared" ref="W31:W32" si="11">S31/T31</f>
        <v>2.2684310018903591</v>
      </c>
      <c r="X31" s="34"/>
      <c r="Y31" s="5">
        <f>AA31*(0.906-(0.044*Z31/G32))</f>
        <v>4.0698413513513518</v>
      </c>
      <c r="Z31" s="66">
        <v>6.5</v>
      </c>
      <c r="AA31" s="66">
        <v>4.59</v>
      </c>
      <c r="AB31" s="66">
        <v>6.5</v>
      </c>
      <c r="AC31" s="66">
        <v>3.56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61"/>
      <c r="F32" s="24"/>
      <c r="G32" s="66">
        <v>14.8</v>
      </c>
      <c r="H32" s="66">
        <v>3.14</v>
      </c>
      <c r="I32" s="24"/>
      <c r="J32" s="24"/>
      <c r="K32" s="66">
        <f t="shared" si="10"/>
        <v>4.7133757961783438</v>
      </c>
      <c r="L32" s="36"/>
      <c r="M32" s="6">
        <v>75</v>
      </c>
      <c r="N32" s="34"/>
      <c r="O32" s="2">
        <v>7</v>
      </c>
      <c r="P32" s="34"/>
      <c r="Q32" s="24"/>
      <c r="R32" s="7"/>
      <c r="S32" s="66">
        <v>14.1</v>
      </c>
      <c r="T32" s="66">
        <v>4.67</v>
      </c>
      <c r="U32" s="24"/>
      <c r="V32" s="24"/>
      <c r="W32" s="66">
        <f t="shared" si="11"/>
        <v>3.0192719486081372</v>
      </c>
      <c r="X32" s="34"/>
      <c r="Y32" s="5">
        <f>K32</f>
        <v>4.7133757961783438</v>
      </c>
      <c r="Z32" s="66">
        <v>4.8</v>
      </c>
      <c r="AA32" s="66">
        <v>5.98</v>
      </c>
      <c r="AB32" s="66">
        <v>4.7</v>
      </c>
      <c r="AC32" s="66">
        <v>4.5999999999999996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61"/>
      <c r="F33" s="24"/>
      <c r="G33" s="43" t="s">
        <v>61</v>
      </c>
      <c r="H33" s="43" t="s">
        <v>61</v>
      </c>
      <c r="I33" s="24"/>
      <c r="J33" s="24"/>
      <c r="K33" s="26" t="s">
        <v>61</v>
      </c>
      <c r="L33" s="36"/>
      <c r="M33" s="6">
        <v>75</v>
      </c>
      <c r="N33" s="34"/>
      <c r="O33" s="2">
        <v>12</v>
      </c>
      <c r="P33" s="34"/>
      <c r="Q33" s="24"/>
      <c r="R33" s="7"/>
      <c r="S33" s="43" t="s">
        <v>61</v>
      </c>
      <c r="T33" s="43" t="s">
        <v>61</v>
      </c>
      <c r="U33" s="24"/>
      <c r="V33" s="24"/>
      <c r="W33" s="26" t="s">
        <v>61</v>
      </c>
      <c r="X33" s="34"/>
      <c r="Y33" s="36"/>
      <c r="Z33" s="66">
        <v>5.5</v>
      </c>
      <c r="AA33" s="66">
        <v>7.54</v>
      </c>
      <c r="AB33" s="66">
        <v>5.2</v>
      </c>
      <c r="AC33" s="66">
        <v>5.52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30"/>
      <c r="F34" s="30"/>
      <c r="G34" s="31"/>
      <c r="H34" s="31"/>
      <c r="I34" s="31"/>
      <c r="J34" s="31"/>
      <c r="K34" s="31"/>
      <c r="L34" s="30"/>
      <c r="M34" s="30"/>
      <c r="N34" s="30"/>
      <c r="O34" s="9"/>
      <c r="P34" s="30"/>
      <c r="Q34" s="30"/>
      <c r="R34" s="31"/>
      <c r="S34" s="31"/>
      <c r="T34" s="31"/>
      <c r="U34" s="31"/>
      <c r="V34" s="31"/>
      <c r="W34" s="31"/>
      <c r="X34" s="30"/>
      <c r="Y34" s="31"/>
      <c r="Z34" s="31"/>
      <c r="AA34" s="31"/>
      <c r="AB34" s="31"/>
      <c r="AC34" s="31"/>
      <c r="AD34" s="30"/>
      <c r="AE34" s="9"/>
      <c r="AF34" s="30"/>
      <c r="AG34" s="30"/>
      <c r="AH34" s="30"/>
    </row>
    <row r="35" spans="1:34" x14ac:dyDescent="0.4">
      <c r="A35" s="3" t="s">
        <v>170</v>
      </c>
      <c r="B35" s="1" t="s">
        <v>161</v>
      </c>
      <c r="C35" s="4"/>
      <c r="D35" s="2"/>
      <c r="E35" s="61"/>
      <c r="F35" s="24"/>
      <c r="G35" s="24"/>
      <c r="H35" s="24"/>
      <c r="I35" s="24"/>
      <c r="J35" s="24"/>
      <c r="K35" s="24"/>
      <c r="L35" s="36"/>
      <c r="M35" s="27"/>
      <c r="N35" s="34"/>
      <c r="O35" s="64"/>
      <c r="P35" s="34"/>
      <c r="Q35" s="24"/>
      <c r="R35" s="24"/>
      <c r="S35" s="24"/>
      <c r="T35" s="24"/>
      <c r="U35" s="24"/>
      <c r="V35" s="24"/>
      <c r="W35" s="24"/>
      <c r="X35" s="43">
        <v>3</v>
      </c>
      <c r="Y35" s="36"/>
      <c r="Z35" s="24"/>
      <c r="AA35" s="24"/>
      <c r="AB35" s="24"/>
      <c r="AC35" s="24"/>
      <c r="AD35" s="34"/>
      <c r="AE35" s="2" t="s">
        <v>37</v>
      </c>
      <c r="AF35" s="66">
        <v>12</v>
      </c>
      <c r="AG35" s="66">
        <v>3.7</v>
      </c>
      <c r="AH35" s="66">
        <f>AF35/AG35</f>
        <v>3.243243243243243</v>
      </c>
    </row>
    <row r="36" spans="1:34" x14ac:dyDescent="0.4">
      <c r="A36" s="3"/>
      <c r="C36" s="13">
        <v>-25</v>
      </c>
      <c r="D36" s="2"/>
      <c r="E36" s="61"/>
      <c r="F36" s="24"/>
      <c r="G36" s="66">
        <v>7.2</v>
      </c>
      <c r="H36" s="66">
        <v>3.85</v>
      </c>
      <c r="I36" s="7"/>
      <c r="J36" s="24"/>
      <c r="K36" s="66">
        <f>G36/H36</f>
        <v>1.8701298701298701</v>
      </c>
      <c r="L36" s="36"/>
      <c r="M36" s="6">
        <v>55</v>
      </c>
      <c r="N36" s="34"/>
      <c r="O36" s="2">
        <v>-25</v>
      </c>
      <c r="P36" s="34"/>
      <c r="Q36" s="24"/>
      <c r="R36" s="7"/>
      <c r="S36" s="66">
        <v>7.1</v>
      </c>
      <c r="T36" s="66">
        <v>5.68</v>
      </c>
      <c r="U36" s="24"/>
      <c r="V36" s="24"/>
      <c r="W36" s="66">
        <f>S36/T36</f>
        <v>1.25</v>
      </c>
      <c r="X36" s="34"/>
      <c r="Y36" s="36"/>
      <c r="Z36" s="24"/>
      <c r="AA36" s="24"/>
      <c r="AB36" s="24"/>
      <c r="AC36" s="24"/>
      <c r="AD36" s="34"/>
      <c r="AE36" s="2"/>
      <c r="AF36" s="7"/>
      <c r="AG36" s="7"/>
      <c r="AH36" s="7"/>
    </row>
    <row r="37" spans="1:34" x14ac:dyDescent="0.4">
      <c r="A37" s="46"/>
      <c r="C37" s="13">
        <v>-20</v>
      </c>
      <c r="D37" s="2"/>
      <c r="E37" s="61"/>
      <c r="F37" s="24"/>
      <c r="G37" s="66">
        <v>8.1</v>
      </c>
      <c r="H37" s="66">
        <v>3.85</v>
      </c>
      <c r="I37" s="7"/>
      <c r="J37" s="24"/>
      <c r="K37" s="66">
        <f t="shared" ref="K37:K38" si="12">G37/H37</f>
        <v>2.1038961038961039</v>
      </c>
      <c r="L37" s="36"/>
      <c r="M37" s="6">
        <v>65</v>
      </c>
      <c r="N37" s="34"/>
      <c r="O37" s="2">
        <v>-20</v>
      </c>
      <c r="P37" s="34"/>
      <c r="Q37" s="24"/>
      <c r="R37" s="7"/>
      <c r="S37" s="66">
        <v>7.8</v>
      </c>
      <c r="T37" s="66">
        <v>5.21</v>
      </c>
      <c r="U37" s="24"/>
      <c r="V37" s="24"/>
      <c r="W37" s="66">
        <f t="shared" ref="W37:W38" si="13">S37/T37</f>
        <v>1.4971209213051824</v>
      </c>
      <c r="X37" s="34"/>
      <c r="Y37" s="36"/>
      <c r="Z37" s="24"/>
      <c r="AA37" s="24"/>
      <c r="AB37" s="24"/>
      <c r="AC37" s="24"/>
      <c r="AD37" s="34"/>
      <c r="AE37" s="2" t="s">
        <v>38</v>
      </c>
      <c r="AF37" s="66">
        <v>15</v>
      </c>
      <c r="AG37" s="66">
        <v>3.9</v>
      </c>
      <c r="AH37" s="66">
        <f>AF37/AG37</f>
        <v>3.8461538461538463</v>
      </c>
    </row>
    <row r="38" spans="1:34" x14ac:dyDescent="0.4">
      <c r="A38" s="3"/>
      <c r="C38" s="2">
        <v>-15</v>
      </c>
      <c r="D38" s="2"/>
      <c r="E38" s="61"/>
      <c r="F38" s="24"/>
      <c r="G38" s="66">
        <v>9.4</v>
      </c>
      <c r="H38" s="66">
        <v>3.78</v>
      </c>
      <c r="I38" s="7"/>
      <c r="J38" s="24"/>
      <c r="K38" s="66">
        <f t="shared" si="12"/>
        <v>2.486772486772487</v>
      </c>
      <c r="L38" s="36"/>
      <c r="M38" s="6">
        <v>75</v>
      </c>
      <c r="N38" s="34"/>
      <c r="O38" s="2">
        <v>-15</v>
      </c>
      <c r="P38" s="34"/>
      <c r="Q38" s="24"/>
      <c r="R38" s="7"/>
      <c r="S38" s="66">
        <v>8.8000000000000007</v>
      </c>
      <c r="T38" s="66">
        <v>5.2</v>
      </c>
      <c r="U38" s="24"/>
      <c r="V38" s="24"/>
      <c r="W38" s="66">
        <f t="shared" si="13"/>
        <v>1.6923076923076923</v>
      </c>
      <c r="X38" s="34"/>
      <c r="Y38" s="36"/>
      <c r="Z38" s="24"/>
      <c r="AA38" s="24"/>
      <c r="AB38" s="24"/>
      <c r="AC38" s="24"/>
      <c r="AD38" s="34"/>
      <c r="AE38" s="2" t="s">
        <v>40</v>
      </c>
      <c r="AF38" s="66">
        <v>12</v>
      </c>
      <c r="AG38" s="66">
        <v>2.4</v>
      </c>
      <c r="AH38" s="66">
        <f>AF38/AG38</f>
        <v>5</v>
      </c>
    </row>
    <row r="39" spans="1:34" x14ac:dyDescent="0.4">
      <c r="A39" s="3"/>
      <c r="C39" s="2">
        <v>-10</v>
      </c>
      <c r="D39" s="2"/>
      <c r="E39" s="61"/>
      <c r="F39" s="24"/>
      <c r="G39" s="43"/>
      <c r="H39" s="43"/>
      <c r="I39" s="7"/>
      <c r="J39" s="24"/>
      <c r="K39" s="29" t="s">
        <v>61</v>
      </c>
      <c r="L39" s="36"/>
      <c r="M39" s="6">
        <v>75</v>
      </c>
      <c r="N39" s="34"/>
      <c r="O39" s="2">
        <v>-10</v>
      </c>
      <c r="P39" s="34"/>
      <c r="Q39" s="24"/>
      <c r="R39" s="7"/>
      <c r="S39" s="43"/>
      <c r="T39" s="43"/>
      <c r="U39" s="24"/>
      <c r="V39" s="24"/>
      <c r="W39" s="29" t="s">
        <v>61</v>
      </c>
      <c r="X39" s="34"/>
      <c r="Y39" s="36" t="s">
        <v>39</v>
      </c>
      <c r="Z39" s="66">
        <v>10</v>
      </c>
      <c r="AA39" s="66">
        <v>2.76</v>
      </c>
      <c r="AB39" s="66">
        <v>9.8000000000000007</v>
      </c>
      <c r="AC39" s="66">
        <v>1.83</v>
      </c>
      <c r="AD39" s="34"/>
      <c r="AF39" s="33"/>
      <c r="AG39" s="33"/>
      <c r="AH39" s="33"/>
    </row>
    <row r="40" spans="1:34" x14ac:dyDescent="0.4">
      <c r="A40" s="3"/>
      <c r="C40" s="2">
        <v>-7</v>
      </c>
      <c r="D40" s="2"/>
      <c r="E40" s="61"/>
      <c r="F40" s="24"/>
      <c r="G40" s="66">
        <v>10.5</v>
      </c>
      <c r="H40" s="66">
        <v>3.5</v>
      </c>
      <c r="I40" s="7"/>
      <c r="J40" s="24"/>
      <c r="K40" s="66">
        <f>G40/H40</f>
        <v>3</v>
      </c>
      <c r="L40" s="36"/>
      <c r="M40" s="6">
        <v>75</v>
      </c>
      <c r="N40" s="34"/>
      <c r="O40" s="2">
        <v>-7</v>
      </c>
      <c r="P40" s="34"/>
      <c r="Q40" s="24"/>
      <c r="R40" s="7"/>
      <c r="S40" s="66">
        <v>10</v>
      </c>
      <c r="T40" s="66">
        <v>5.08</v>
      </c>
      <c r="U40" s="24"/>
      <c r="V40" s="24"/>
      <c r="W40" s="66">
        <f>S40/T40</f>
        <v>1.9685039370078741</v>
      </c>
      <c r="X40" s="34"/>
      <c r="Y40" s="5">
        <f>AA40*(1.029-(0.05*Z40/G42))</f>
        <v>2.9001124324324321</v>
      </c>
      <c r="Z40" s="66">
        <v>10.6</v>
      </c>
      <c r="AA40" s="66">
        <v>2.92</v>
      </c>
      <c r="AB40" s="66">
        <v>10</v>
      </c>
      <c r="AC40" s="66">
        <v>2.04</v>
      </c>
      <c r="AD40" s="34"/>
      <c r="AE40" s="2"/>
      <c r="AF40" s="34"/>
      <c r="AG40" s="34"/>
      <c r="AH40" s="33"/>
    </row>
    <row r="41" spans="1:34" x14ac:dyDescent="0.4">
      <c r="A41" s="3"/>
      <c r="C41" s="2">
        <v>2</v>
      </c>
      <c r="D41" s="2"/>
      <c r="E41" s="61"/>
      <c r="F41" s="24"/>
      <c r="G41" s="66">
        <v>12.5</v>
      </c>
      <c r="H41" s="66">
        <v>3.71</v>
      </c>
      <c r="I41" s="7"/>
      <c r="J41" s="24"/>
      <c r="K41" s="66">
        <f t="shared" ref="K41:K42" si="14">G41/H41</f>
        <v>3.3692722371967654</v>
      </c>
      <c r="L41" s="36"/>
      <c r="M41" s="6">
        <v>75</v>
      </c>
      <c r="N41" s="34"/>
      <c r="O41" s="2">
        <v>2</v>
      </c>
      <c r="P41" s="34"/>
      <c r="Q41" s="24"/>
      <c r="R41" s="7"/>
      <c r="S41" s="66">
        <v>12</v>
      </c>
      <c r="T41" s="66">
        <v>5.29</v>
      </c>
      <c r="U41" s="24"/>
      <c r="V41" s="24"/>
      <c r="W41" s="66">
        <f t="shared" ref="W41:W42" si="15">S41/T41</f>
        <v>2.2684310018903591</v>
      </c>
      <c r="X41" s="34"/>
      <c r="Y41" s="5">
        <f>AA41*(0.906-(0.044*Z41/G42))</f>
        <v>4.0698413513513518</v>
      </c>
      <c r="Z41" s="66">
        <v>6.5</v>
      </c>
      <c r="AA41" s="66">
        <v>4.59</v>
      </c>
      <c r="AB41" s="66">
        <v>6.5</v>
      </c>
      <c r="AC41" s="66">
        <v>3.56</v>
      </c>
      <c r="AD41" s="34"/>
      <c r="AE41" s="2"/>
      <c r="AF41" s="34"/>
      <c r="AG41" s="34"/>
      <c r="AH41" s="33"/>
    </row>
    <row r="42" spans="1:34" x14ac:dyDescent="0.4">
      <c r="A42" s="3"/>
      <c r="C42" s="2">
        <v>7</v>
      </c>
      <c r="D42" s="2"/>
      <c r="E42" s="61"/>
      <c r="F42" s="24"/>
      <c r="G42" s="66">
        <v>14.8</v>
      </c>
      <c r="H42" s="66">
        <v>3.14</v>
      </c>
      <c r="I42" s="7"/>
      <c r="J42" s="24"/>
      <c r="K42" s="66">
        <f t="shared" si="14"/>
        <v>4.7133757961783438</v>
      </c>
      <c r="L42" s="36"/>
      <c r="M42" s="6">
        <v>75</v>
      </c>
      <c r="N42" s="34"/>
      <c r="O42" s="2">
        <v>7</v>
      </c>
      <c r="P42" s="34"/>
      <c r="Q42" s="24"/>
      <c r="R42" s="7"/>
      <c r="S42" s="66">
        <v>14.1</v>
      </c>
      <c r="T42" s="66">
        <v>4.67</v>
      </c>
      <c r="U42" s="24"/>
      <c r="V42" s="24"/>
      <c r="W42" s="66">
        <f t="shared" si="15"/>
        <v>3.0192719486081372</v>
      </c>
      <c r="X42" s="34"/>
      <c r="Y42" s="5">
        <f>K42</f>
        <v>4.7133757961783438</v>
      </c>
      <c r="Z42" s="66">
        <v>4.8</v>
      </c>
      <c r="AA42" s="66">
        <v>5.98</v>
      </c>
      <c r="AB42" s="66">
        <v>4.7</v>
      </c>
      <c r="AC42" s="66">
        <v>4.5999999999999996</v>
      </c>
      <c r="AD42" s="34"/>
      <c r="AE42" s="2"/>
      <c r="AF42" s="34"/>
      <c r="AG42" s="34"/>
      <c r="AH42" s="33"/>
    </row>
    <row r="43" spans="1:34" x14ac:dyDescent="0.4">
      <c r="A43" s="3"/>
      <c r="C43" s="2">
        <v>12</v>
      </c>
      <c r="D43" s="2"/>
      <c r="E43" s="61"/>
      <c r="F43" s="24"/>
      <c r="G43" s="43" t="s">
        <v>61</v>
      </c>
      <c r="H43" s="43" t="s">
        <v>61</v>
      </c>
      <c r="I43" s="24"/>
      <c r="J43" s="24"/>
      <c r="K43" s="26" t="s">
        <v>61</v>
      </c>
      <c r="L43" s="36"/>
      <c r="M43" s="6">
        <v>75</v>
      </c>
      <c r="N43" s="34"/>
      <c r="O43" s="2">
        <v>12</v>
      </c>
      <c r="P43" s="34"/>
      <c r="Q43" s="24"/>
      <c r="R43" s="24"/>
      <c r="S43" s="43" t="s">
        <v>61</v>
      </c>
      <c r="T43" s="43" t="s">
        <v>61</v>
      </c>
      <c r="U43" s="24"/>
      <c r="V43" s="24"/>
      <c r="W43" s="26" t="s">
        <v>61</v>
      </c>
      <c r="X43" s="34"/>
      <c r="Y43" s="36"/>
      <c r="Z43" s="66">
        <v>5.5</v>
      </c>
      <c r="AA43" s="66">
        <v>7.54</v>
      </c>
      <c r="AB43" s="66">
        <v>5.2</v>
      </c>
      <c r="AC43" s="66">
        <v>5.52</v>
      </c>
      <c r="AD43" s="34"/>
      <c r="AE43" s="2"/>
      <c r="AF43" s="34"/>
      <c r="AG43" s="34"/>
      <c r="AH43" s="33"/>
    </row>
    <row r="44" spans="1:34" x14ac:dyDescent="0.4">
      <c r="A44" s="8"/>
      <c r="B44" s="8"/>
      <c r="C44" s="9"/>
      <c r="D44" s="9"/>
      <c r="E44" s="30"/>
      <c r="F44" s="30"/>
      <c r="G44" s="31"/>
      <c r="H44" s="31"/>
      <c r="I44" s="31"/>
      <c r="J44" s="31"/>
      <c r="K44" s="31"/>
      <c r="L44" s="30"/>
      <c r="M44" s="30"/>
      <c r="N44" s="30"/>
      <c r="O44" s="9"/>
      <c r="P44" s="30"/>
      <c r="Q44" s="30"/>
      <c r="R44" s="31"/>
      <c r="S44" s="31"/>
      <c r="T44" s="31"/>
      <c r="U44" s="31"/>
      <c r="V44" s="31"/>
      <c r="W44" s="31"/>
      <c r="X44" s="30"/>
      <c r="Y44" s="31"/>
      <c r="Z44" s="31"/>
      <c r="AA44" s="31"/>
      <c r="AB44" s="31"/>
      <c r="AC44" s="31"/>
      <c r="AD44" s="30"/>
      <c r="AE44" s="9"/>
      <c r="AF44" s="30"/>
      <c r="AG44" s="30"/>
      <c r="AH44" s="30"/>
    </row>
    <row r="45" spans="1:34" x14ac:dyDescent="0.4">
      <c r="A45" s="3" t="s">
        <v>164</v>
      </c>
      <c r="B45" s="1" t="s">
        <v>162</v>
      </c>
      <c r="C45" s="4"/>
      <c r="D45" s="2"/>
      <c r="E45" s="24"/>
      <c r="F45" s="24"/>
      <c r="G45" s="24"/>
      <c r="H45" s="24"/>
      <c r="I45" s="24"/>
      <c r="J45" s="24"/>
      <c r="K45" s="24"/>
      <c r="L45" s="36"/>
      <c r="M45" s="27"/>
      <c r="N45" s="34"/>
      <c r="O45" s="64"/>
      <c r="P45" s="34"/>
      <c r="Q45" s="24"/>
      <c r="R45" s="24"/>
      <c r="S45" s="24"/>
      <c r="T45" s="24"/>
      <c r="U45" s="24"/>
      <c r="V45" s="24"/>
      <c r="W45" s="24"/>
      <c r="X45" s="4">
        <v>3</v>
      </c>
      <c r="Y45" s="36"/>
      <c r="Z45" s="24"/>
      <c r="AA45" s="24"/>
      <c r="AB45" s="24"/>
      <c r="AC45" s="24"/>
      <c r="AD45" s="34"/>
      <c r="AE45" s="2" t="s">
        <v>37</v>
      </c>
      <c r="AF45" s="66">
        <v>14</v>
      </c>
      <c r="AG45" s="66">
        <v>4.38</v>
      </c>
      <c r="AH45" s="66">
        <f>AF45/AG45</f>
        <v>3.1963470319634704</v>
      </c>
    </row>
    <row r="46" spans="1:34" x14ac:dyDescent="0.4">
      <c r="A46" s="3"/>
      <c r="C46" s="13">
        <v>-25</v>
      </c>
      <c r="D46" s="2"/>
      <c r="E46" s="24"/>
      <c r="F46" s="24"/>
      <c r="G46" s="66">
        <v>8.3000000000000007</v>
      </c>
      <c r="H46" s="66">
        <v>4.68</v>
      </c>
      <c r="I46" s="24"/>
      <c r="J46" s="24"/>
      <c r="K46" s="66">
        <f>G46/H46</f>
        <v>1.7735042735042739</v>
      </c>
      <c r="L46" s="36"/>
      <c r="M46" s="6">
        <v>55</v>
      </c>
      <c r="N46" s="34"/>
      <c r="O46" s="2">
        <v>-25</v>
      </c>
      <c r="P46" s="34"/>
      <c r="Q46" s="24"/>
      <c r="R46" s="7"/>
      <c r="S46" s="66">
        <v>7.15</v>
      </c>
      <c r="T46" s="66">
        <v>5.7</v>
      </c>
      <c r="U46" s="24"/>
      <c r="V46" s="24"/>
      <c r="W46" s="66">
        <f>S46/T46</f>
        <v>1.2543859649122808</v>
      </c>
      <c r="X46" s="34"/>
      <c r="Y46" s="36"/>
      <c r="Z46" s="24"/>
      <c r="AA46" s="24"/>
      <c r="AB46" s="24"/>
      <c r="AC46" s="24"/>
      <c r="AD46" s="34"/>
      <c r="AE46" s="2"/>
      <c r="AF46" s="7"/>
      <c r="AG46" s="7"/>
      <c r="AH46" s="7"/>
    </row>
    <row r="47" spans="1:34" x14ac:dyDescent="0.4">
      <c r="A47" s="46"/>
      <c r="C47" s="13">
        <v>-20</v>
      </c>
      <c r="D47" s="2"/>
      <c r="E47" s="24"/>
      <c r="F47" s="24"/>
      <c r="G47" s="66">
        <v>9</v>
      </c>
      <c r="H47" s="66">
        <v>4.3600000000000003</v>
      </c>
      <c r="I47" s="24"/>
      <c r="J47" s="24"/>
      <c r="K47" s="66">
        <f t="shared" ref="K47:K52" si="16">G47/H47</f>
        <v>2.0642201834862384</v>
      </c>
      <c r="L47" s="36"/>
      <c r="M47" s="6">
        <v>65</v>
      </c>
      <c r="N47" s="34"/>
      <c r="O47" s="2">
        <v>-20</v>
      </c>
      <c r="P47" s="34"/>
      <c r="Q47" s="24"/>
      <c r="R47" s="7"/>
      <c r="S47" s="66">
        <v>8.1999999999999993</v>
      </c>
      <c r="T47" s="66">
        <v>5.57</v>
      </c>
      <c r="U47" s="24"/>
      <c r="V47" s="24"/>
      <c r="W47" s="66">
        <f t="shared" ref="W47:W52" si="17">S47/T47</f>
        <v>1.4721723518850987</v>
      </c>
      <c r="X47" s="34"/>
      <c r="Y47" s="36"/>
      <c r="Z47" s="24"/>
      <c r="AA47" s="24"/>
      <c r="AB47" s="24"/>
      <c r="AC47" s="24"/>
      <c r="AD47" s="34"/>
      <c r="AE47" s="2" t="s">
        <v>38</v>
      </c>
      <c r="AF47" s="66">
        <v>17</v>
      </c>
      <c r="AG47" s="66">
        <v>4.5199999999999996</v>
      </c>
      <c r="AH47" s="66">
        <f>AF47/AG47</f>
        <v>3.7610619469026552</v>
      </c>
    </row>
    <row r="48" spans="1:34" x14ac:dyDescent="0.4">
      <c r="A48" s="3"/>
      <c r="C48" s="2">
        <v>-15</v>
      </c>
      <c r="D48" s="2"/>
      <c r="E48" s="24"/>
      <c r="F48" s="24"/>
      <c r="G48" s="66">
        <v>10.5</v>
      </c>
      <c r="H48" s="66">
        <v>4.38</v>
      </c>
      <c r="I48" s="24"/>
      <c r="J48" s="24"/>
      <c r="K48" s="66">
        <f t="shared" si="16"/>
        <v>2.397260273972603</v>
      </c>
      <c r="L48" s="36"/>
      <c r="M48" s="6">
        <v>75</v>
      </c>
      <c r="N48" s="34"/>
      <c r="O48" s="2">
        <v>-15</v>
      </c>
      <c r="P48" s="34"/>
      <c r="Q48" s="24"/>
      <c r="R48" s="7"/>
      <c r="S48" s="66">
        <v>9.3000000000000007</v>
      </c>
      <c r="T48" s="66">
        <v>5.57</v>
      </c>
      <c r="U48" s="24"/>
      <c r="V48" s="24"/>
      <c r="W48" s="66">
        <f t="shared" si="17"/>
        <v>1.6696588868940754</v>
      </c>
      <c r="X48" s="34"/>
      <c r="Y48" s="36"/>
      <c r="Z48" s="24"/>
      <c r="AA48" s="24"/>
      <c r="AB48" s="24"/>
      <c r="AC48" s="24"/>
      <c r="AD48" s="34"/>
      <c r="AE48" s="2" t="s">
        <v>40</v>
      </c>
      <c r="AF48" s="66">
        <v>15.5</v>
      </c>
      <c r="AG48" s="66">
        <v>3.27</v>
      </c>
      <c r="AH48" s="66">
        <f>AF48/AG48</f>
        <v>4.7400611620795106</v>
      </c>
    </row>
    <row r="49" spans="1:34" x14ac:dyDescent="0.4">
      <c r="A49" s="3"/>
      <c r="C49" s="2">
        <v>-10</v>
      </c>
      <c r="D49" s="2"/>
      <c r="E49" s="24"/>
      <c r="F49" s="24"/>
      <c r="G49" s="43"/>
      <c r="H49" s="43"/>
      <c r="I49" s="24"/>
      <c r="J49" s="24"/>
      <c r="K49" s="66"/>
      <c r="L49" s="36"/>
      <c r="M49" s="6">
        <v>75</v>
      </c>
      <c r="N49" s="34"/>
      <c r="O49" s="2">
        <v>-10</v>
      </c>
      <c r="P49" s="34"/>
      <c r="Q49" s="24"/>
      <c r="R49" s="7"/>
      <c r="S49" s="43"/>
      <c r="T49" s="43"/>
      <c r="U49" s="24"/>
      <c r="V49" s="24"/>
      <c r="W49" s="66"/>
      <c r="X49" s="34"/>
      <c r="Y49" s="17" t="s">
        <v>39</v>
      </c>
      <c r="Z49" s="66">
        <v>11.2</v>
      </c>
      <c r="AA49" s="66">
        <v>2.83</v>
      </c>
      <c r="AB49" s="66">
        <v>10</v>
      </c>
      <c r="AC49" s="66">
        <v>1.92</v>
      </c>
      <c r="AD49" s="34"/>
      <c r="AF49" s="33"/>
      <c r="AG49" s="33"/>
      <c r="AH49" s="33"/>
    </row>
    <row r="50" spans="1:34" x14ac:dyDescent="0.4">
      <c r="A50" s="3"/>
      <c r="C50" s="2">
        <v>-7</v>
      </c>
      <c r="D50" s="2"/>
      <c r="E50" s="24"/>
      <c r="F50" s="24"/>
      <c r="G50" s="66">
        <v>11.7</v>
      </c>
      <c r="H50" s="66">
        <v>4.45</v>
      </c>
      <c r="I50" s="24"/>
      <c r="J50" s="24"/>
      <c r="K50" s="66">
        <f t="shared" si="16"/>
        <v>2.6292134831460672</v>
      </c>
      <c r="L50" s="36"/>
      <c r="M50" s="6">
        <v>75</v>
      </c>
      <c r="N50" s="34"/>
      <c r="O50" s="2">
        <v>-7</v>
      </c>
      <c r="P50" s="34"/>
      <c r="Q50" s="24"/>
      <c r="R50" s="7"/>
      <c r="S50" s="66">
        <v>10.8</v>
      </c>
      <c r="T50" s="66">
        <v>5.68</v>
      </c>
      <c r="U50" s="24"/>
      <c r="V50" s="24"/>
      <c r="W50" s="66">
        <f t="shared" si="17"/>
        <v>1.9014084507042255</v>
      </c>
      <c r="X50" s="34"/>
      <c r="Y50" s="5">
        <f>AA50*(1.029-(0.05*Z50/G52))</f>
        <v>2.7896274999999999</v>
      </c>
      <c r="Z50" s="66">
        <v>11.6</v>
      </c>
      <c r="AA50" s="66">
        <v>2.81</v>
      </c>
      <c r="AB50" s="66">
        <v>10.8</v>
      </c>
      <c r="AC50" s="66">
        <v>2.04</v>
      </c>
      <c r="AD50" s="34"/>
      <c r="AE50" s="2"/>
      <c r="AF50" s="34"/>
      <c r="AG50" s="34"/>
      <c r="AH50" s="33"/>
    </row>
    <row r="51" spans="1:34" x14ac:dyDescent="0.4">
      <c r="A51" s="3"/>
      <c r="C51" s="2">
        <v>2</v>
      </c>
      <c r="D51" s="2"/>
      <c r="E51" s="24"/>
      <c r="F51" s="24"/>
      <c r="G51" s="66">
        <v>13</v>
      </c>
      <c r="H51" s="66">
        <v>3.94</v>
      </c>
      <c r="I51" s="24"/>
      <c r="J51" s="24"/>
      <c r="K51" s="66">
        <f t="shared" si="16"/>
        <v>3.2994923857868019</v>
      </c>
      <c r="L51" s="36"/>
      <c r="M51" s="6">
        <v>75</v>
      </c>
      <c r="N51" s="34"/>
      <c r="O51" s="2">
        <v>2</v>
      </c>
      <c r="P51" s="34"/>
      <c r="Q51" s="24"/>
      <c r="R51" s="7"/>
      <c r="S51" s="66">
        <v>12</v>
      </c>
      <c r="T51" s="66">
        <v>5.29</v>
      </c>
      <c r="U51" s="24"/>
      <c r="V51" s="24"/>
      <c r="W51" s="66">
        <f t="shared" si="17"/>
        <v>2.2684310018903591</v>
      </c>
      <c r="X51" s="34"/>
      <c r="Y51" s="5">
        <f>AA51*(0.906-(0.044*Z51/G52))</f>
        <v>3.9222112499999997</v>
      </c>
      <c r="Z51" s="66">
        <v>7.5</v>
      </c>
      <c r="AA51" s="66">
        <v>4.43</v>
      </c>
      <c r="AB51" s="66">
        <v>7</v>
      </c>
      <c r="AC51" s="66">
        <v>3.64</v>
      </c>
      <c r="AD51" s="34"/>
      <c r="AE51" s="2"/>
      <c r="AF51" s="34"/>
      <c r="AG51" s="34"/>
      <c r="AH51" s="33"/>
    </row>
    <row r="52" spans="1:34" x14ac:dyDescent="0.4">
      <c r="A52" s="3"/>
      <c r="C52" s="2">
        <v>7</v>
      </c>
      <c r="D52" s="2"/>
      <c r="E52" s="24"/>
      <c r="F52" s="24"/>
      <c r="G52" s="66">
        <v>16</v>
      </c>
      <c r="H52" s="66">
        <v>3.44</v>
      </c>
      <c r="I52" s="24"/>
      <c r="J52" s="24"/>
      <c r="K52" s="66">
        <f t="shared" si="16"/>
        <v>4.6511627906976747</v>
      </c>
      <c r="L52" s="36"/>
      <c r="M52" s="6">
        <v>75</v>
      </c>
      <c r="N52" s="34"/>
      <c r="O52" s="2">
        <v>7</v>
      </c>
      <c r="P52" s="34"/>
      <c r="Q52" s="24"/>
      <c r="R52" s="7"/>
      <c r="S52" s="66">
        <v>14.7</v>
      </c>
      <c r="T52" s="66">
        <v>4.9000000000000004</v>
      </c>
      <c r="U52" s="24"/>
      <c r="V52" s="24"/>
      <c r="W52" s="66">
        <f t="shared" si="17"/>
        <v>2.9999999999999996</v>
      </c>
      <c r="X52" s="34"/>
      <c r="Y52" s="5">
        <f>K52</f>
        <v>4.6511627906976747</v>
      </c>
      <c r="Z52" s="66">
        <v>4.9000000000000004</v>
      </c>
      <c r="AA52" s="66">
        <v>6.35</v>
      </c>
      <c r="AB52" s="66">
        <v>4.7</v>
      </c>
      <c r="AC52" s="66">
        <v>4.76</v>
      </c>
      <c r="AD52" s="34"/>
      <c r="AE52" s="2"/>
      <c r="AF52" s="34"/>
      <c r="AG52" s="34"/>
      <c r="AH52" s="33"/>
    </row>
    <row r="53" spans="1:34" x14ac:dyDescent="0.4">
      <c r="A53" s="3"/>
      <c r="C53" s="2">
        <v>12</v>
      </c>
      <c r="D53" s="2"/>
      <c r="E53" s="24"/>
      <c r="F53" s="24"/>
      <c r="G53" s="43" t="s">
        <v>61</v>
      </c>
      <c r="H53" s="43" t="s">
        <v>61</v>
      </c>
      <c r="I53" s="24"/>
      <c r="J53" s="24"/>
      <c r="K53" s="26" t="s">
        <v>61</v>
      </c>
      <c r="L53" s="36"/>
      <c r="M53" s="6">
        <v>75</v>
      </c>
      <c r="N53" s="34"/>
      <c r="O53" s="2">
        <v>12</v>
      </c>
      <c r="P53" s="34"/>
      <c r="Q53" s="24"/>
      <c r="R53" s="7"/>
      <c r="S53" s="43" t="s">
        <v>61</v>
      </c>
      <c r="T53" s="43" t="s">
        <v>61</v>
      </c>
      <c r="U53" s="24"/>
      <c r="V53" s="24"/>
      <c r="W53" s="26" t="s">
        <v>61</v>
      </c>
      <c r="X53" s="34"/>
      <c r="Y53" s="17"/>
      <c r="Z53" s="66">
        <v>5.7</v>
      </c>
      <c r="AA53" s="66">
        <v>7.68</v>
      </c>
      <c r="AB53" s="66">
        <v>5.4</v>
      </c>
      <c r="AC53" s="66">
        <v>5.57</v>
      </c>
      <c r="AD53" s="34"/>
      <c r="AE53" s="2"/>
      <c r="AF53" s="34"/>
      <c r="AG53" s="34"/>
      <c r="AH53" s="33"/>
    </row>
    <row r="54" spans="1:34" x14ac:dyDescent="0.4">
      <c r="A54" s="8"/>
      <c r="B54" s="8"/>
      <c r="C54" s="9"/>
      <c r="D54" s="9"/>
      <c r="E54" s="18"/>
      <c r="F54" s="18"/>
      <c r="G54" s="22"/>
      <c r="H54" s="22"/>
      <c r="I54" s="22"/>
      <c r="J54" s="22"/>
      <c r="K54" s="22"/>
      <c r="L54" s="18"/>
      <c r="M54" s="18"/>
      <c r="N54" s="18"/>
      <c r="O54" s="18"/>
      <c r="P54" s="18"/>
      <c r="Q54" s="18"/>
      <c r="R54" s="22"/>
      <c r="S54" s="22"/>
      <c r="T54" s="22"/>
      <c r="U54" s="22"/>
      <c r="V54" s="22"/>
      <c r="W54" s="22"/>
      <c r="X54" s="18"/>
      <c r="Y54" s="22"/>
      <c r="Z54" s="22"/>
      <c r="AA54" s="22"/>
      <c r="AB54" s="22"/>
      <c r="AC54" s="22"/>
      <c r="AD54" s="18"/>
      <c r="AE54" s="18"/>
      <c r="AF54" s="18"/>
      <c r="AG54" s="18"/>
      <c r="AH54" s="18"/>
    </row>
    <row r="55" spans="1:34" x14ac:dyDescent="0.4">
      <c r="A55" s="3" t="s">
        <v>165</v>
      </c>
      <c r="B55" s="1" t="s">
        <v>162</v>
      </c>
      <c r="C55" s="4"/>
      <c r="D55" s="2"/>
      <c r="E55" s="24"/>
      <c r="F55" s="24"/>
      <c r="G55" s="24"/>
      <c r="H55" s="24"/>
      <c r="I55" s="24"/>
      <c r="J55" s="24"/>
      <c r="K55" s="24"/>
      <c r="L55" s="36"/>
      <c r="M55" s="27"/>
      <c r="N55" s="34"/>
      <c r="O55" s="64"/>
      <c r="P55" s="34"/>
      <c r="Q55" s="24"/>
      <c r="R55" s="24"/>
      <c r="S55" s="24"/>
      <c r="T55" s="24"/>
      <c r="U55" s="24"/>
      <c r="V55" s="24"/>
      <c r="W55" s="24"/>
      <c r="X55" s="4">
        <v>6</v>
      </c>
      <c r="Y55" s="36"/>
      <c r="Z55" s="24"/>
      <c r="AA55" s="24"/>
      <c r="AB55" s="24"/>
      <c r="AC55" s="24"/>
      <c r="AD55" s="34"/>
      <c r="AE55" s="2" t="s">
        <v>37</v>
      </c>
      <c r="AF55" s="66">
        <v>14</v>
      </c>
      <c r="AG55" s="66">
        <v>4.38</v>
      </c>
      <c r="AH55" s="66">
        <f>AF55/AG55</f>
        <v>3.1963470319634704</v>
      </c>
    </row>
    <row r="56" spans="1:34" x14ac:dyDescent="0.4">
      <c r="A56" s="3"/>
      <c r="C56" s="13">
        <v>-25</v>
      </c>
      <c r="D56" s="2"/>
      <c r="E56" s="24"/>
      <c r="F56" s="24"/>
      <c r="G56" s="66">
        <v>8.3000000000000007</v>
      </c>
      <c r="H56" s="66">
        <v>4.68</v>
      </c>
      <c r="I56" s="24"/>
      <c r="J56" s="24"/>
      <c r="K56" s="66">
        <f>G56/H56</f>
        <v>1.7735042735042739</v>
      </c>
      <c r="L56" s="36"/>
      <c r="M56" s="6">
        <v>55</v>
      </c>
      <c r="N56" s="34"/>
      <c r="O56" s="2">
        <v>-25</v>
      </c>
      <c r="P56" s="34"/>
      <c r="Q56" s="24"/>
      <c r="R56" s="7"/>
      <c r="S56" s="66">
        <v>7.15</v>
      </c>
      <c r="T56" s="66">
        <v>5.7</v>
      </c>
      <c r="U56" s="24"/>
      <c r="V56" s="24"/>
      <c r="W56" s="66">
        <f>S56/T56</f>
        <v>1.2543859649122808</v>
      </c>
      <c r="X56" s="34"/>
      <c r="Y56" s="36"/>
      <c r="Z56" s="24"/>
      <c r="AA56" s="24"/>
      <c r="AB56" s="24"/>
      <c r="AC56" s="24"/>
      <c r="AD56" s="34"/>
      <c r="AE56" s="2"/>
      <c r="AF56" s="7"/>
      <c r="AG56" s="7"/>
      <c r="AH56" s="7"/>
    </row>
    <row r="57" spans="1:34" x14ac:dyDescent="0.4">
      <c r="A57" s="46"/>
      <c r="C57" s="13">
        <v>-20</v>
      </c>
      <c r="D57" s="2"/>
      <c r="E57" s="24"/>
      <c r="F57" s="24"/>
      <c r="G57" s="66">
        <v>9</v>
      </c>
      <c r="H57" s="66">
        <v>4.3600000000000003</v>
      </c>
      <c r="I57" s="24"/>
      <c r="J57" s="24"/>
      <c r="K57" s="66">
        <f t="shared" ref="K57:K58" si="18">G57/H57</f>
        <v>2.0642201834862384</v>
      </c>
      <c r="L57" s="36"/>
      <c r="M57" s="6">
        <v>65</v>
      </c>
      <c r="N57" s="34"/>
      <c r="O57" s="2">
        <v>-20</v>
      </c>
      <c r="P57" s="34"/>
      <c r="Q57" s="24"/>
      <c r="R57" s="7"/>
      <c r="S57" s="66">
        <v>8.1999999999999993</v>
      </c>
      <c r="T57" s="66">
        <v>5.57</v>
      </c>
      <c r="U57" s="24"/>
      <c r="V57" s="24"/>
      <c r="W57" s="66">
        <f t="shared" ref="W57:W58" si="19">S57/T57</f>
        <v>1.4721723518850987</v>
      </c>
      <c r="X57" s="34"/>
      <c r="Y57" s="36"/>
      <c r="Z57" s="24"/>
      <c r="AA57" s="24"/>
      <c r="AB57" s="24"/>
      <c r="AC57" s="24"/>
      <c r="AD57" s="34"/>
      <c r="AE57" s="2" t="s">
        <v>38</v>
      </c>
      <c r="AF57" s="66">
        <v>17</v>
      </c>
      <c r="AG57" s="66">
        <v>4.5199999999999996</v>
      </c>
      <c r="AH57" s="66">
        <f>AF57/AG57</f>
        <v>3.7610619469026552</v>
      </c>
    </row>
    <row r="58" spans="1:34" x14ac:dyDescent="0.4">
      <c r="A58" s="3"/>
      <c r="C58" s="2">
        <v>-15</v>
      </c>
      <c r="D58" s="2"/>
      <c r="E58" s="24"/>
      <c r="F58" s="24"/>
      <c r="G58" s="66">
        <v>10.5</v>
      </c>
      <c r="H58" s="66">
        <v>4.38</v>
      </c>
      <c r="I58" s="24"/>
      <c r="J58" s="24"/>
      <c r="K58" s="66">
        <f t="shared" si="18"/>
        <v>2.397260273972603</v>
      </c>
      <c r="L58" s="36"/>
      <c r="M58" s="6">
        <v>75</v>
      </c>
      <c r="N58" s="34"/>
      <c r="O58" s="2">
        <v>-15</v>
      </c>
      <c r="P58" s="34"/>
      <c r="Q58" s="24"/>
      <c r="R58" s="7"/>
      <c r="S58" s="66">
        <v>9.3000000000000007</v>
      </c>
      <c r="T58" s="66">
        <v>5.57</v>
      </c>
      <c r="U58" s="24"/>
      <c r="V58" s="24"/>
      <c r="W58" s="66">
        <f t="shared" si="19"/>
        <v>1.6696588868940754</v>
      </c>
      <c r="X58" s="34"/>
      <c r="Y58" s="36"/>
      <c r="Z58" s="24"/>
      <c r="AA58" s="24"/>
      <c r="AB58" s="24"/>
      <c r="AC58" s="24"/>
      <c r="AD58" s="34"/>
      <c r="AE58" s="2" t="s">
        <v>40</v>
      </c>
      <c r="AF58" s="66">
        <v>15.5</v>
      </c>
      <c r="AG58" s="66">
        <v>3.27</v>
      </c>
      <c r="AH58" s="66">
        <f>AF58/AG58</f>
        <v>4.7400611620795106</v>
      </c>
    </row>
    <row r="59" spans="1:34" x14ac:dyDescent="0.4">
      <c r="A59" s="3"/>
      <c r="C59" s="2">
        <v>-10</v>
      </c>
      <c r="D59" s="2"/>
      <c r="E59" s="24"/>
      <c r="F59" s="24"/>
      <c r="G59" s="43"/>
      <c r="H59" s="43"/>
      <c r="I59" s="24"/>
      <c r="J59" s="24"/>
      <c r="K59" s="66"/>
      <c r="L59" s="36"/>
      <c r="M59" s="6">
        <v>75</v>
      </c>
      <c r="N59" s="34"/>
      <c r="O59" s="2">
        <v>-10</v>
      </c>
      <c r="P59" s="34"/>
      <c r="Q59" s="24"/>
      <c r="R59" s="7"/>
      <c r="S59" s="43"/>
      <c r="T59" s="43"/>
      <c r="U59" s="24"/>
      <c r="V59" s="24"/>
      <c r="W59" s="66"/>
      <c r="X59" s="34"/>
      <c r="Y59" s="17" t="s">
        <v>39</v>
      </c>
      <c r="Z59" s="66">
        <v>11.2</v>
      </c>
      <c r="AA59" s="66">
        <v>2.83</v>
      </c>
      <c r="AB59" s="66">
        <v>10</v>
      </c>
      <c r="AC59" s="66">
        <v>1.92</v>
      </c>
      <c r="AD59" s="34"/>
      <c r="AF59" s="33"/>
      <c r="AG59" s="33"/>
      <c r="AH59" s="33"/>
    </row>
    <row r="60" spans="1:34" x14ac:dyDescent="0.4">
      <c r="A60" s="3"/>
      <c r="C60" s="2">
        <v>-7</v>
      </c>
      <c r="D60" s="2"/>
      <c r="E60" s="24"/>
      <c r="F60" s="24"/>
      <c r="G60" s="66">
        <v>11.7</v>
      </c>
      <c r="H60" s="66">
        <v>4.45</v>
      </c>
      <c r="I60" s="24"/>
      <c r="J60" s="24"/>
      <c r="K60" s="66">
        <f t="shared" ref="K60:K62" si="20">G60/H60</f>
        <v>2.6292134831460672</v>
      </c>
      <c r="L60" s="36"/>
      <c r="M60" s="6">
        <v>75</v>
      </c>
      <c r="N60" s="34"/>
      <c r="O60" s="2">
        <v>-7</v>
      </c>
      <c r="P60" s="34"/>
      <c r="Q60" s="24"/>
      <c r="R60" s="7"/>
      <c r="S60" s="66">
        <v>10.8</v>
      </c>
      <c r="T60" s="66">
        <v>5.68</v>
      </c>
      <c r="U60" s="24"/>
      <c r="V60" s="24"/>
      <c r="W60" s="66">
        <f t="shared" ref="W60:W62" si="21">S60/T60</f>
        <v>1.9014084507042255</v>
      </c>
      <c r="X60" s="34"/>
      <c r="Y60" s="5">
        <f>AA60*(1.029-(0.05*Z60/G62))</f>
        <v>2.7896274999999999</v>
      </c>
      <c r="Z60" s="66">
        <v>11.6</v>
      </c>
      <c r="AA60" s="66">
        <v>2.81</v>
      </c>
      <c r="AB60" s="66">
        <v>10.8</v>
      </c>
      <c r="AC60" s="66">
        <v>2.04</v>
      </c>
      <c r="AD60" s="34"/>
      <c r="AE60" s="2"/>
      <c r="AF60" s="34"/>
      <c r="AG60" s="34"/>
      <c r="AH60" s="33"/>
    </row>
    <row r="61" spans="1:34" x14ac:dyDescent="0.4">
      <c r="A61" s="3"/>
      <c r="C61" s="2">
        <v>2</v>
      </c>
      <c r="D61" s="2"/>
      <c r="E61" s="24"/>
      <c r="F61" s="24"/>
      <c r="G61" s="66">
        <v>13</v>
      </c>
      <c r="H61" s="66">
        <v>3.94</v>
      </c>
      <c r="I61" s="24"/>
      <c r="J61" s="24"/>
      <c r="K61" s="66">
        <f t="shared" si="20"/>
        <v>3.2994923857868019</v>
      </c>
      <c r="L61" s="36"/>
      <c r="M61" s="6">
        <v>75</v>
      </c>
      <c r="N61" s="34"/>
      <c r="O61" s="2">
        <v>2</v>
      </c>
      <c r="P61" s="34"/>
      <c r="Q61" s="24"/>
      <c r="R61" s="7"/>
      <c r="S61" s="66">
        <v>12</v>
      </c>
      <c r="T61" s="66">
        <v>5.29</v>
      </c>
      <c r="U61" s="24"/>
      <c r="V61" s="24"/>
      <c r="W61" s="66">
        <f t="shared" si="21"/>
        <v>2.2684310018903591</v>
      </c>
      <c r="X61" s="34"/>
      <c r="Y61" s="5">
        <f>AA61*(0.906-(0.044*Z61/G62))</f>
        <v>3.9222112499999997</v>
      </c>
      <c r="Z61" s="66">
        <v>7.5</v>
      </c>
      <c r="AA61" s="66">
        <v>4.43</v>
      </c>
      <c r="AB61" s="66">
        <v>7</v>
      </c>
      <c r="AC61" s="66">
        <v>3.64</v>
      </c>
      <c r="AD61" s="34"/>
      <c r="AE61" s="2"/>
      <c r="AF61" s="34"/>
      <c r="AG61" s="34"/>
      <c r="AH61" s="33"/>
    </row>
    <row r="62" spans="1:34" x14ac:dyDescent="0.4">
      <c r="A62" s="3"/>
      <c r="C62" s="2">
        <v>7</v>
      </c>
      <c r="D62" s="2"/>
      <c r="E62" s="24"/>
      <c r="F62" s="24"/>
      <c r="G62" s="66">
        <v>16</v>
      </c>
      <c r="H62" s="66">
        <v>3.44</v>
      </c>
      <c r="I62" s="24"/>
      <c r="J62" s="24"/>
      <c r="K62" s="66">
        <f t="shared" si="20"/>
        <v>4.6511627906976747</v>
      </c>
      <c r="L62" s="36"/>
      <c r="M62" s="6">
        <v>75</v>
      </c>
      <c r="N62" s="34"/>
      <c r="O62" s="2">
        <v>7</v>
      </c>
      <c r="P62" s="34"/>
      <c r="Q62" s="24"/>
      <c r="R62" s="7"/>
      <c r="S62" s="66">
        <v>14.7</v>
      </c>
      <c r="T62" s="66">
        <v>4.9000000000000004</v>
      </c>
      <c r="U62" s="24"/>
      <c r="V62" s="24"/>
      <c r="W62" s="66">
        <f t="shared" si="21"/>
        <v>2.9999999999999996</v>
      </c>
      <c r="X62" s="34"/>
      <c r="Y62" s="5">
        <f>K62</f>
        <v>4.6511627906976747</v>
      </c>
      <c r="Z62" s="66">
        <v>4.9000000000000004</v>
      </c>
      <c r="AA62" s="66">
        <v>6.35</v>
      </c>
      <c r="AB62" s="66">
        <v>4.7</v>
      </c>
      <c r="AC62" s="66">
        <v>4.76</v>
      </c>
      <c r="AD62" s="34"/>
      <c r="AE62" s="2"/>
      <c r="AF62" s="34"/>
      <c r="AG62" s="34"/>
      <c r="AH62" s="33"/>
    </row>
    <row r="63" spans="1:34" x14ac:dyDescent="0.4">
      <c r="A63" s="3"/>
      <c r="C63" s="2">
        <v>12</v>
      </c>
      <c r="D63" s="2"/>
      <c r="E63" s="24"/>
      <c r="F63" s="24"/>
      <c r="G63" s="43" t="s">
        <v>61</v>
      </c>
      <c r="H63" s="43" t="s">
        <v>61</v>
      </c>
      <c r="I63" s="24"/>
      <c r="J63" s="24"/>
      <c r="K63" s="26" t="s">
        <v>61</v>
      </c>
      <c r="L63" s="36"/>
      <c r="M63" s="6">
        <v>75</v>
      </c>
      <c r="N63" s="34"/>
      <c r="O63" s="2">
        <v>12</v>
      </c>
      <c r="P63" s="34"/>
      <c r="Q63" s="24"/>
      <c r="R63" s="24"/>
      <c r="S63" s="43" t="s">
        <v>61</v>
      </c>
      <c r="T63" s="43" t="s">
        <v>61</v>
      </c>
      <c r="U63" s="24"/>
      <c r="V63" s="24"/>
      <c r="W63" s="26" t="s">
        <v>61</v>
      </c>
      <c r="X63" s="34"/>
      <c r="Y63" s="17"/>
      <c r="Z63" s="66">
        <v>5.7</v>
      </c>
      <c r="AA63" s="66">
        <v>7.68</v>
      </c>
      <c r="AB63" s="66">
        <v>5.4</v>
      </c>
      <c r="AC63" s="66">
        <v>5.57</v>
      </c>
      <c r="AD63" s="34"/>
      <c r="AE63" s="2"/>
      <c r="AF63" s="34"/>
      <c r="AG63" s="34"/>
      <c r="AH63" s="33"/>
    </row>
    <row r="64" spans="1:34" x14ac:dyDescent="0.4">
      <c r="A64" s="8"/>
      <c r="B64" s="8"/>
      <c r="C64" s="9"/>
      <c r="D64" s="9"/>
      <c r="E64" s="18"/>
      <c r="F64" s="18"/>
      <c r="G64" s="22"/>
      <c r="H64" s="22"/>
      <c r="I64" s="22"/>
      <c r="J64" s="22"/>
      <c r="K64" s="22"/>
      <c r="L64" s="18"/>
      <c r="M64" s="18"/>
      <c r="N64" s="18"/>
      <c r="O64" s="18"/>
      <c r="P64" s="18"/>
      <c r="Q64" s="18"/>
      <c r="R64" s="22"/>
      <c r="S64" s="22"/>
      <c r="T64" s="22"/>
      <c r="U64" s="22"/>
      <c r="V64" s="22"/>
      <c r="W64" s="22"/>
      <c r="X64" s="18"/>
      <c r="Y64" s="22"/>
      <c r="Z64" s="22"/>
      <c r="AA64" s="22"/>
      <c r="AB64" s="22"/>
      <c r="AC64" s="22"/>
      <c r="AD64" s="18"/>
      <c r="AE64" s="18"/>
      <c r="AF64" s="18"/>
      <c r="AG64" s="18"/>
      <c r="AH64" s="18"/>
    </row>
    <row r="65" spans="1:34" x14ac:dyDescent="0.4">
      <c r="A65" s="3" t="s">
        <v>166</v>
      </c>
      <c r="B65" s="1" t="s">
        <v>162</v>
      </c>
      <c r="C65" s="4"/>
      <c r="D65" s="2"/>
      <c r="E65" s="24"/>
      <c r="F65" s="24"/>
      <c r="G65" s="24"/>
      <c r="H65" s="24"/>
      <c r="I65" s="24"/>
      <c r="J65" s="24"/>
      <c r="K65" s="24"/>
      <c r="L65" s="36"/>
      <c r="M65" s="27"/>
      <c r="N65" s="34"/>
      <c r="O65" s="64"/>
      <c r="P65" s="34"/>
      <c r="Q65" s="24"/>
      <c r="R65" s="24"/>
      <c r="S65" s="24"/>
      <c r="T65" s="24"/>
      <c r="U65" s="24"/>
      <c r="V65" s="24"/>
      <c r="W65" s="24"/>
      <c r="X65" s="4">
        <v>3</v>
      </c>
      <c r="Y65" s="36"/>
      <c r="Z65" s="24"/>
      <c r="AA65" s="24"/>
      <c r="AB65" s="24"/>
      <c r="AC65" s="24"/>
      <c r="AD65" s="34"/>
      <c r="AE65" s="2" t="s">
        <v>37</v>
      </c>
      <c r="AF65" s="66">
        <v>14</v>
      </c>
      <c r="AG65" s="66">
        <v>4.38</v>
      </c>
      <c r="AH65" s="66">
        <f>AF65/AG65</f>
        <v>3.1963470319634704</v>
      </c>
    </row>
    <row r="66" spans="1:34" x14ac:dyDescent="0.4">
      <c r="A66" s="3"/>
      <c r="C66" s="13">
        <v>-25</v>
      </c>
      <c r="D66" s="2"/>
      <c r="E66" s="24"/>
      <c r="F66" s="24"/>
      <c r="G66" s="66">
        <v>8.3000000000000007</v>
      </c>
      <c r="H66" s="66">
        <v>4.68</v>
      </c>
      <c r="I66" s="7"/>
      <c r="J66" s="24"/>
      <c r="K66" s="66">
        <f>G66/H66</f>
        <v>1.7735042735042739</v>
      </c>
      <c r="L66" s="36"/>
      <c r="M66" s="6">
        <v>55</v>
      </c>
      <c r="N66" s="34"/>
      <c r="O66" s="2">
        <v>-25</v>
      </c>
      <c r="P66" s="34"/>
      <c r="Q66" s="24"/>
      <c r="R66" s="7"/>
      <c r="S66" s="66">
        <v>7.15</v>
      </c>
      <c r="T66" s="66">
        <v>5.7</v>
      </c>
      <c r="U66" s="24"/>
      <c r="V66" s="24"/>
      <c r="W66" s="66">
        <f>S66/T66</f>
        <v>1.2543859649122808</v>
      </c>
      <c r="X66" s="34"/>
      <c r="Y66" s="36"/>
      <c r="Z66" s="24"/>
      <c r="AA66" s="24"/>
      <c r="AB66" s="24"/>
      <c r="AC66" s="24"/>
      <c r="AD66" s="34"/>
      <c r="AE66" s="2"/>
      <c r="AF66" s="7"/>
      <c r="AG66" s="7"/>
      <c r="AH66" s="7"/>
    </row>
    <row r="67" spans="1:34" x14ac:dyDescent="0.4">
      <c r="A67" s="46"/>
      <c r="C67" s="13">
        <v>-20</v>
      </c>
      <c r="D67" s="2"/>
      <c r="E67" s="24"/>
      <c r="F67" s="24"/>
      <c r="G67" s="66">
        <v>9</v>
      </c>
      <c r="H67" s="66">
        <v>4.3600000000000003</v>
      </c>
      <c r="I67" s="7"/>
      <c r="J67" s="24"/>
      <c r="K67" s="66">
        <f t="shared" ref="K67:K68" si="22">G67/H67</f>
        <v>2.0642201834862384</v>
      </c>
      <c r="L67" s="36"/>
      <c r="M67" s="6">
        <v>65</v>
      </c>
      <c r="N67" s="34"/>
      <c r="O67" s="2">
        <v>-20</v>
      </c>
      <c r="P67" s="34"/>
      <c r="Q67" s="24"/>
      <c r="R67" s="7"/>
      <c r="S67" s="66">
        <v>8.1999999999999993</v>
      </c>
      <c r="T67" s="66">
        <v>5.57</v>
      </c>
      <c r="U67" s="24"/>
      <c r="V67" s="24"/>
      <c r="W67" s="66">
        <f t="shared" ref="W67:W68" si="23">S67/T67</f>
        <v>1.4721723518850987</v>
      </c>
      <c r="X67" s="34"/>
      <c r="Y67" s="36"/>
      <c r="Z67" s="24"/>
      <c r="AA67" s="24"/>
      <c r="AB67" s="24"/>
      <c r="AC67" s="24"/>
      <c r="AD67" s="34"/>
      <c r="AE67" s="2" t="s">
        <v>38</v>
      </c>
      <c r="AF67" s="66">
        <v>17</v>
      </c>
      <c r="AG67" s="66">
        <v>4.5199999999999996</v>
      </c>
      <c r="AH67" s="66">
        <f>AF67/AG67</f>
        <v>3.7610619469026552</v>
      </c>
    </row>
    <row r="68" spans="1:34" x14ac:dyDescent="0.4">
      <c r="A68" s="3"/>
      <c r="C68" s="2">
        <v>-15</v>
      </c>
      <c r="D68" s="2"/>
      <c r="E68" s="24"/>
      <c r="F68" s="24"/>
      <c r="G68" s="66">
        <v>10.5</v>
      </c>
      <c r="H68" s="66">
        <v>4.38</v>
      </c>
      <c r="I68" s="7"/>
      <c r="J68" s="24"/>
      <c r="K68" s="66">
        <f t="shared" si="22"/>
        <v>2.397260273972603</v>
      </c>
      <c r="L68" s="36"/>
      <c r="M68" s="6">
        <v>75</v>
      </c>
      <c r="N68" s="34"/>
      <c r="O68" s="2">
        <v>-15</v>
      </c>
      <c r="P68" s="34"/>
      <c r="Q68" s="24"/>
      <c r="R68" s="7"/>
      <c r="S68" s="66">
        <v>9.3000000000000007</v>
      </c>
      <c r="T68" s="66">
        <v>5.57</v>
      </c>
      <c r="U68" s="24"/>
      <c r="V68" s="24"/>
      <c r="W68" s="66">
        <f t="shared" si="23"/>
        <v>1.6696588868940754</v>
      </c>
      <c r="X68" s="34"/>
      <c r="Y68" s="36"/>
      <c r="Z68" s="24"/>
      <c r="AA68" s="24"/>
      <c r="AB68" s="24"/>
      <c r="AC68" s="24"/>
      <c r="AD68" s="34"/>
      <c r="AE68" s="2" t="s">
        <v>40</v>
      </c>
      <c r="AF68" s="66">
        <v>15.5</v>
      </c>
      <c r="AG68" s="66">
        <v>3.27</v>
      </c>
      <c r="AH68" s="66">
        <f>AF68/AG68</f>
        <v>4.7400611620795106</v>
      </c>
    </row>
    <row r="69" spans="1:34" x14ac:dyDescent="0.4">
      <c r="A69" s="3"/>
      <c r="C69" s="2">
        <v>-10</v>
      </c>
      <c r="D69" s="2"/>
      <c r="E69" s="24"/>
      <c r="F69" s="24"/>
      <c r="G69" s="43"/>
      <c r="H69" s="43"/>
      <c r="I69" s="7"/>
      <c r="J69" s="24"/>
      <c r="K69" s="66"/>
      <c r="L69" s="36"/>
      <c r="M69" s="6">
        <v>75</v>
      </c>
      <c r="N69" s="34"/>
      <c r="O69" s="2">
        <v>-10</v>
      </c>
      <c r="P69" s="34"/>
      <c r="Q69" s="24"/>
      <c r="R69" s="7"/>
      <c r="S69" s="43"/>
      <c r="T69" s="43"/>
      <c r="U69" s="24"/>
      <c r="V69" s="24"/>
      <c r="W69" s="66"/>
      <c r="X69" s="34"/>
      <c r="Y69" s="17" t="s">
        <v>39</v>
      </c>
      <c r="Z69" s="66">
        <v>11.2</v>
      </c>
      <c r="AA69" s="66">
        <v>2.83</v>
      </c>
      <c r="AB69" s="66">
        <v>10</v>
      </c>
      <c r="AC69" s="66">
        <v>1.92</v>
      </c>
      <c r="AD69" s="34"/>
      <c r="AF69" s="33"/>
      <c r="AG69" s="33"/>
      <c r="AH69" s="33"/>
    </row>
    <row r="70" spans="1:34" x14ac:dyDescent="0.4">
      <c r="A70" s="3"/>
      <c r="C70" s="2">
        <v>-7</v>
      </c>
      <c r="D70" s="2"/>
      <c r="E70" s="24"/>
      <c r="F70" s="24"/>
      <c r="G70" s="66">
        <v>11.7</v>
      </c>
      <c r="H70" s="66">
        <v>4.45</v>
      </c>
      <c r="I70" s="7"/>
      <c r="J70" s="24"/>
      <c r="K70" s="66">
        <f t="shared" ref="K70:K72" si="24">G70/H70</f>
        <v>2.6292134831460672</v>
      </c>
      <c r="L70" s="36"/>
      <c r="M70" s="6">
        <v>75</v>
      </c>
      <c r="N70" s="34"/>
      <c r="O70" s="2">
        <v>-7</v>
      </c>
      <c r="P70" s="34"/>
      <c r="Q70" s="24"/>
      <c r="R70" s="7"/>
      <c r="S70" s="66">
        <v>10.8</v>
      </c>
      <c r="T70" s="66">
        <v>5.68</v>
      </c>
      <c r="U70" s="24"/>
      <c r="V70" s="24"/>
      <c r="W70" s="66">
        <f t="shared" ref="W70:W72" si="25">S70/T70</f>
        <v>1.9014084507042255</v>
      </c>
      <c r="X70" s="34"/>
      <c r="Y70" s="5">
        <f>AA70*(1.029-(0.05*Z70/G72))</f>
        <v>2.7896274999999999</v>
      </c>
      <c r="Z70" s="66">
        <v>11.6</v>
      </c>
      <c r="AA70" s="66">
        <v>2.81</v>
      </c>
      <c r="AB70" s="66">
        <v>10.8</v>
      </c>
      <c r="AC70" s="66">
        <v>2.04</v>
      </c>
      <c r="AD70" s="34"/>
      <c r="AE70" s="2"/>
      <c r="AF70" s="34"/>
      <c r="AG70" s="34"/>
      <c r="AH70" s="33"/>
    </row>
    <row r="71" spans="1:34" x14ac:dyDescent="0.4">
      <c r="A71" s="3"/>
      <c r="C71" s="2">
        <v>2</v>
      </c>
      <c r="D71" s="2"/>
      <c r="E71" s="24"/>
      <c r="F71" s="24"/>
      <c r="G71" s="66">
        <v>13</v>
      </c>
      <c r="H71" s="66">
        <v>3.94</v>
      </c>
      <c r="I71" s="7"/>
      <c r="J71" s="24"/>
      <c r="K71" s="66">
        <f t="shared" si="24"/>
        <v>3.2994923857868019</v>
      </c>
      <c r="L71" s="36"/>
      <c r="M71" s="6">
        <v>75</v>
      </c>
      <c r="N71" s="34"/>
      <c r="O71" s="2">
        <v>2</v>
      </c>
      <c r="P71" s="34"/>
      <c r="Q71" s="24"/>
      <c r="R71" s="7"/>
      <c r="S71" s="66">
        <v>12</v>
      </c>
      <c r="T71" s="66">
        <v>5.29</v>
      </c>
      <c r="U71" s="24"/>
      <c r="V71" s="24"/>
      <c r="W71" s="66">
        <f t="shared" si="25"/>
        <v>2.2684310018903591</v>
      </c>
      <c r="X71" s="34"/>
      <c r="Y71" s="5">
        <f>AA71*(0.906-(0.044*Z71/G72))</f>
        <v>3.9222112499999997</v>
      </c>
      <c r="Z71" s="66">
        <v>7.5</v>
      </c>
      <c r="AA71" s="66">
        <v>4.43</v>
      </c>
      <c r="AB71" s="66">
        <v>7</v>
      </c>
      <c r="AC71" s="66">
        <v>3.64</v>
      </c>
      <c r="AD71" s="34"/>
      <c r="AE71" s="2"/>
      <c r="AF71" s="34"/>
      <c r="AG71" s="34"/>
      <c r="AH71" s="33"/>
    </row>
    <row r="72" spans="1:34" x14ac:dyDescent="0.4">
      <c r="A72" s="3"/>
      <c r="C72" s="2">
        <v>7</v>
      </c>
      <c r="D72" s="2"/>
      <c r="E72" s="24"/>
      <c r="F72" s="24"/>
      <c r="G72" s="66">
        <v>16</v>
      </c>
      <c r="H72" s="66">
        <v>3.44</v>
      </c>
      <c r="I72" s="7"/>
      <c r="J72" s="24"/>
      <c r="K72" s="66">
        <f t="shared" si="24"/>
        <v>4.6511627906976747</v>
      </c>
      <c r="L72" s="36"/>
      <c r="M72" s="6">
        <v>75</v>
      </c>
      <c r="N72" s="34"/>
      <c r="O72" s="2">
        <v>7</v>
      </c>
      <c r="P72" s="34"/>
      <c r="Q72" s="24"/>
      <c r="R72" s="7"/>
      <c r="S72" s="66">
        <v>14.7</v>
      </c>
      <c r="T72" s="66">
        <v>4.9000000000000004</v>
      </c>
      <c r="U72" s="24"/>
      <c r="V72" s="24"/>
      <c r="W72" s="66">
        <f t="shared" si="25"/>
        <v>2.9999999999999996</v>
      </c>
      <c r="X72" s="34"/>
      <c r="Y72" s="5">
        <f>K72</f>
        <v>4.6511627906976747</v>
      </c>
      <c r="Z72" s="66">
        <v>4.9000000000000004</v>
      </c>
      <c r="AA72" s="66">
        <v>6.35</v>
      </c>
      <c r="AB72" s="66">
        <v>4.7</v>
      </c>
      <c r="AC72" s="66">
        <v>4.76</v>
      </c>
      <c r="AD72" s="34"/>
      <c r="AE72" s="2"/>
      <c r="AF72" s="34"/>
      <c r="AG72" s="34"/>
      <c r="AH72" s="33"/>
    </row>
    <row r="73" spans="1:34" x14ac:dyDescent="0.4">
      <c r="A73" s="3"/>
      <c r="C73" s="2">
        <v>12</v>
      </c>
      <c r="D73" s="2"/>
      <c r="E73" s="24"/>
      <c r="F73" s="24"/>
      <c r="G73" s="43" t="s">
        <v>61</v>
      </c>
      <c r="H73" s="43" t="s">
        <v>61</v>
      </c>
      <c r="I73" s="7"/>
      <c r="J73" s="24"/>
      <c r="K73" s="26" t="s">
        <v>61</v>
      </c>
      <c r="L73" s="36"/>
      <c r="M73" s="6">
        <v>75</v>
      </c>
      <c r="N73" s="34"/>
      <c r="O73" s="2">
        <v>12</v>
      </c>
      <c r="P73" s="34"/>
      <c r="Q73" s="24"/>
      <c r="R73" s="7"/>
      <c r="S73" s="43" t="s">
        <v>61</v>
      </c>
      <c r="T73" s="43" t="s">
        <v>61</v>
      </c>
      <c r="U73" s="24"/>
      <c r="V73" s="24"/>
      <c r="W73" s="26" t="s">
        <v>61</v>
      </c>
      <c r="X73" s="34"/>
      <c r="Y73" s="17"/>
      <c r="Z73" s="66">
        <v>5.7</v>
      </c>
      <c r="AA73" s="66">
        <v>7.68</v>
      </c>
      <c r="AB73" s="66">
        <v>5.4</v>
      </c>
      <c r="AC73" s="66">
        <v>5.57</v>
      </c>
      <c r="AD73" s="34"/>
      <c r="AE73" s="2"/>
      <c r="AF73" s="34"/>
      <c r="AG73" s="34"/>
      <c r="AH73" s="33"/>
    </row>
    <row r="74" spans="1:34" x14ac:dyDescent="0.4">
      <c r="A74" s="8"/>
      <c r="B74" s="8"/>
      <c r="C74" s="9"/>
      <c r="D74" s="9"/>
      <c r="E74" s="18"/>
      <c r="F74" s="18"/>
      <c r="G74" s="22"/>
      <c r="H74" s="22"/>
      <c r="I74" s="22"/>
      <c r="J74" s="22"/>
      <c r="K74" s="22"/>
      <c r="L74" s="18"/>
      <c r="M74" s="18"/>
      <c r="N74" s="18"/>
      <c r="O74" s="18"/>
      <c r="P74" s="18"/>
      <c r="Q74" s="18"/>
      <c r="R74" s="22"/>
      <c r="S74" s="22"/>
      <c r="T74" s="22"/>
      <c r="U74" s="22"/>
      <c r="V74" s="22"/>
      <c r="W74" s="22"/>
      <c r="X74" s="18"/>
      <c r="Y74" s="22"/>
      <c r="Z74" s="22"/>
      <c r="AA74" s="22"/>
      <c r="AB74" s="22"/>
      <c r="AC74" s="22"/>
      <c r="AD74" s="18"/>
      <c r="AE74" s="18"/>
      <c r="AF74" s="18"/>
      <c r="AG74" s="18"/>
      <c r="AH74" s="18"/>
    </row>
    <row r="75" spans="1:34" x14ac:dyDescent="0.4">
      <c r="A75" s="3" t="s">
        <v>170</v>
      </c>
      <c r="B75" s="1" t="s">
        <v>162</v>
      </c>
      <c r="C75" s="4"/>
      <c r="D75" s="2"/>
      <c r="E75" s="24"/>
      <c r="F75" s="24"/>
      <c r="G75" s="24"/>
      <c r="H75" s="24"/>
      <c r="I75" s="24"/>
      <c r="J75" s="24"/>
      <c r="K75" s="24"/>
      <c r="L75" s="36"/>
      <c r="M75" s="27"/>
      <c r="N75" s="34"/>
      <c r="O75" s="64"/>
      <c r="P75" s="34"/>
      <c r="Q75" s="24"/>
      <c r="R75" s="24"/>
      <c r="S75" s="24"/>
      <c r="T75" s="24"/>
      <c r="U75" s="24"/>
      <c r="V75" s="24"/>
      <c r="W75" s="24"/>
      <c r="X75" s="4">
        <v>3</v>
      </c>
      <c r="Y75" s="36"/>
      <c r="Z75" s="24"/>
      <c r="AA75" s="24"/>
      <c r="AB75" s="24"/>
      <c r="AC75" s="24"/>
      <c r="AD75" s="34"/>
      <c r="AE75" s="2" t="s">
        <v>37</v>
      </c>
      <c r="AF75" s="66">
        <v>14</v>
      </c>
      <c r="AG75" s="66">
        <v>4.38</v>
      </c>
      <c r="AH75" s="66">
        <f>AF75/AG75</f>
        <v>3.1963470319634704</v>
      </c>
    </row>
    <row r="76" spans="1:34" x14ac:dyDescent="0.4">
      <c r="A76" s="3"/>
      <c r="C76" s="13">
        <v>-25</v>
      </c>
      <c r="D76" s="2"/>
      <c r="E76" s="24"/>
      <c r="F76" s="7"/>
      <c r="G76" s="66">
        <v>8.3000000000000007</v>
      </c>
      <c r="H76" s="66">
        <v>4.68</v>
      </c>
      <c r="I76" s="24"/>
      <c r="J76" s="24"/>
      <c r="K76" s="66">
        <f>G76/H76</f>
        <v>1.7735042735042739</v>
      </c>
      <c r="L76" s="36"/>
      <c r="M76" s="6">
        <v>55</v>
      </c>
      <c r="N76" s="34"/>
      <c r="O76" s="2">
        <v>-25</v>
      </c>
      <c r="P76" s="34"/>
      <c r="Q76" s="24"/>
      <c r="R76" s="24"/>
      <c r="S76" s="66">
        <v>7.15</v>
      </c>
      <c r="T76" s="66">
        <v>5.7</v>
      </c>
      <c r="U76" s="24"/>
      <c r="V76" s="24"/>
      <c r="W76" s="66">
        <f>S76/T76</f>
        <v>1.2543859649122808</v>
      </c>
      <c r="X76" s="34"/>
      <c r="Y76" s="36"/>
      <c r="Z76" s="24"/>
      <c r="AA76" s="24"/>
      <c r="AB76" s="24"/>
      <c r="AC76" s="24"/>
      <c r="AD76" s="34"/>
      <c r="AE76" s="2"/>
      <c r="AF76" s="7"/>
      <c r="AG76" s="7"/>
      <c r="AH76" s="7"/>
    </row>
    <row r="77" spans="1:34" x14ac:dyDescent="0.4">
      <c r="A77" s="46"/>
      <c r="C77" s="13">
        <v>-20</v>
      </c>
      <c r="D77" s="2"/>
      <c r="E77" s="24"/>
      <c r="F77" s="7"/>
      <c r="G77" s="66">
        <v>9</v>
      </c>
      <c r="H77" s="66">
        <v>4.3600000000000003</v>
      </c>
      <c r="I77" s="24"/>
      <c r="J77" s="24"/>
      <c r="K77" s="66">
        <f t="shared" ref="K77:K78" si="26">G77/H77</f>
        <v>2.0642201834862384</v>
      </c>
      <c r="L77" s="36"/>
      <c r="M77" s="6">
        <v>65</v>
      </c>
      <c r="N77" s="34"/>
      <c r="O77" s="2">
        <v>-20</v>
      </c>
      <c r="P77" s="34"/>
      <c r="Q77" s="24"/>
      <c r="R77" s="24"/>
      <c r="S77" s="66">
        <v>8.1999999999999993</v>
      </c>
      <c r="T77" s="66">
        <v>5.57</v>
      </c>
      <c r="U77" s="24"/>
      <c r="V77" s="24"/>
      <c r="W77" s="66">
        <f t="shared" ref="W77:W78" si="27">S77/T77</f>
        <v>1.4721723518850987</v>
      </c>
      <c r="X77" s="34"/>
      <c r="Y77" s="36"/>
      <c r="Z77" s="24"/>
      <c r="AA77" s="24"/>
      <c r="AB77" s="24"/>
      <c r="AC77" s="24"/>
      <c r="AD77" s="34"/>
      <c r="AE77" s="2" t="s">
        <v>38</v>
      </c>
      <c r="AF77" s="66">
        <v>17</v>
      </c>
      <c r="AG77" s="66">
        <v>4.5199999999999996</v>
      </c>
      <c r="AH77" s="66">
        <f>AF77/AG77</f>
        <v>3.7610619469026552</v>
      </c>
    </row>
    <row r="78" spans="1:34" x14ac:dyDescent="0.4">
      <c r="A78" s="3"/>
      <c r="C78" s="2">
        <v>-15</v>
      </c>
      <c r="D78" s="2"/>
      <c r="E78" s="24"/>
      <c r="F78" s="7"/>
      <c r="G78" s="66">
        <v>10.5</v>
      </c>
      <c r="H78" s="66">
        <v>4.38</v>
      </c>
      <c r="I78" s="24"/>
      <c r="J78" s="24"/>
      <c r="K78" s="66">
        <f t="shared" si="26"/>
        <v>2.397260273972603</v>
      </c>
      <c r="L78" s="36"/>
      <c r="M78" s="6">
        <v>75</v>
      </c>
      <c r="N78" s="34"/>
      <c r="O78" s="2">
        <v>-15</v>
      </c>
      <c r="P78" s="34"/>
      <c r="Q78" s="24"/>
      <c r="R78" s="24"/>
      <c r="S78" s="66">
        <v>9.3000000000000007</v>
      </c>
      <c r="T78" s="66">
        <v>5.57</v>
      </c>
      <c r="U78" s="24"/>
      <c r="V78" s="24"/>
      <c r="W78" s="66">
        <f t="shared" si="27"/>
        <v>1.6696588868940754</v>
      </c>
      <c r="X78" s="34"/>
      <c r="Y78" s="36"/>
      <c r="Z78" s="24"/>
      <c r="AA78" s="24"/>
      <c r="AB78" s="24"/>
      <c r="AC78" s="24"/>
      <c r="AD78" s="34"/>
      <c r="AE78" s="2" t="s">
        <v>40</v>
      </c>
      <c r="AF78" s="66">
        <v>15.5</v>
      </c>
      <c r="AG78" s="66">
        <v>3.27</v>
      </c>
      <c r="AH78" s="66">
        <f>AF78/AG78</f>
        <v>4.7400611620795106</v>
      </c>
    </row>
    <row r="79" spans="1:34" x14ac:dyDescent="0.4">
      <c r="A79" s="3"/>
      <c r="C79" s="2">
        <v>-10</v>
      </c>
      <c r="D79" s="2"/>
      <c r="E79" s="24"/>
      <c r="F79" s="7"/>
      <c r="G79" s="43"/>
      <c r="H79" s="43"/>
      <c r="I79" s="24"/>
      <c r="J79" s="24"/>
      <c r="K79" s="66"/>
      <c r="L79" s="36"/>
      <c r="M79" s="6">
        <v>75</v>
      </c>
      <c r="N79" s="34"/>
      <c r="O79" s="2">
        <v>-10</v>
      </c>
      <c r="P79" s="34"/>
      <c r="Q79" s="24"/>
      <c r="R79" s="24"/>
      <c r="S79" s="43"/>
      <c r="T79" s="43"/>
      <c r="U79" s="24"/>
      <c r="V79" s="24"/>
      <c r="W79" s="66"/>
      <c r="X79" s="34"/>
      <c r="Y79" s="17" t="s">
        <v>39</v>
      </c>
      <c r="Z79" s="66">
        <v>11.2</v>
      </c>
      <c r="AA79" s="66">
        <v>2.83</v>
      </c>
      <c r="AB79" s="66">
        <v>10</v>
      </c>
      <c r="AC79" s="66">
        <v>1.92</v>
      </c>
      <c r="AD79" s="34"/>
      <c r="AF79" s="33"/>
      <c r="AG79" s="33"/>
      <c r="AH79" s="33"/>
    </row>
    <row r="80" spans="1:34" x14ac:dyDescent="0.4">
      <c r="A80" s="3"/>
      <c r="C80" s="2">
        <v>-7</v>
      </c>
      <c r="D80" s="2"/>
      <c r="E80" s="24"/>
      <c r="F80" s="7"/>
      <c r="G80" s="66">
        <v>11.7</v>
      </c>
      <c r="H80" s="66">
        <v>4.45</v>
      </c>
      <c r="I80" s="24"/>
      <c r="J80" s="24"/>
      <c r="K80" s="66">
        <f t="shared" ref="K80:K82" si="28">G80/H80</f>
        <v>2.6292134831460672</v>
      </c>
      <c r="L80" s="36"/>
      <c r="M80" s="6">
        <v>75</v>
      </c>
      <c r="N80" s="34"/>
      <c r="O80" s="2">
        <v>-7</v>
      </c>
      <c r="P80" s="34"/>
      <c r="Q80" s="24"/>
      <c r="R80" s="24"/>
      <c r="S80" s="66">
        <v>10.8</v>
      </c>
      <c r="T80" s="66">
        <v>5.68</v>
      </c>
      <c r="U80" s="24"/>
      <c r="V80" s="24"/>
      <c r="W80" s="66">
        <f t="shared" ref="W80:W82" si="29">S80/T80</f>
        <v>1.9014084507042255</v>
      </c>
      <c r="X80" s="34"/>
      <c r="Y80" s="5">
        <f>AA80*(1.029-(0.05*Z80/G82))</f>
        <v>2.7896274999999999</v>
      </c>
      <c r="Z80" s="66">
        <v>11.6</v>
      </c>
      <c r="AA80" s="66">
        <v>2.81</v>
      </c>
      <c r="AB80" s="66">
        <v>10.8</v>
      </c>
      <c r="AC80" s="66">
        <v>2.04</v>
      </c>
      <c r="AD80" s="34"/>
      <c r="AE80" s="2"/>
      <c r="AF80" s="34"/>
      <c r="AG80" s="34"/>
      <c r="AH80" s="33"/>
    </row>
    <row r="81" spans="1:37" x14ac:dyDescent="0.4">
      <c r="A81" s="3"/>
      <c r="C81" s="2">
        <v>2</v>
      </c>
      <c r="D81" s="2"/>
      <c r="E81" s="24"/>
      <c r="F81" s="7"/>
      <c r="G81" s="66">
        <v>13</v>
      </c>
      <c r="H81" s="66">
        <v>3.94</v>
      </c>
      <c r="I81" s="24"/>
      <c r="J81" s="24"/>
      <c r="K81" s="66">
        <f t="shared" si="28"/>
        <v>3.2994923857868019</v>
      </c>
      <c r="L81" s="36"/>
      <c r="M81" s="6">
        <v>75</v>
      </c>
      <c r="N81" s="34"/>
      <c r="O81" s="2">
        <v>2</v>
      </c>
      <c r="P81" s="34"/>
      <c r="Q81" s="24"/>
      <c r="R81" s="24"/>
      <c r="S81" s="66">
        <v>12</v>
      </c>
      <c r="T81" s="66">
        <v>5.29</v>
      </c>
      <c r="U81" s="24"/>
      <c r="V81" s="24"/>
      <c r="W81" s="66">
        <f t="shared" si="29"/>
        <v>2.2684310018903591</v>
      </c>
      <c r="X81" s="34"/>
      <c r="Y81" s="5">
        <f>AA81*(0.906-(0.044*Z81/G82))</f>
        <v>3.9222112499999997</v>
      </c>
      <c r="Z81" s="66">
        <v>7.5</v>
      </c>
      <c r="AA81" s="66">
        <v>4.43</v>
      </c>
      <c r="AB81" s="66">
        <v>7</v>
      </c>
      <c r="AC81" s="66">
        <v>3.64</v>
      </c>
      <c r="AD81" s="34"/>
      <c r="AE81" s="2"/>
      <c r="AF81" s="34"/>
      <c r="AG81" s="34"/>
      <c r="AH81" s="33"/>
    </row>
    <row r="82" spans="1:37" x14ac:dyDescent="0.4">
      <c r="A82" s="3"/>
      <c r="C82" s="2">
        <v>7</v>
      </c>
      <c r="D82" s="2"/>
      <c r="E82" s="24"/>
      <c r="F82" s="7"/>
      <c r="G82" s="66">
        <v>16</v>
      </c>
      <c r="H82" s="66">
        <v>3.44</v>
      </c>
      <c r="I82" s="24"/>
      <c r="J82" s="24"/>
      <c r="K82" s="66">
        <f t="shared" si="28"/>
        <v>4.6511627906976747</v>
      </c>
      <c r="L82" s="36"/>
      <c r="M82" s="6">
        <v>75</v>
      </c>
      <c r="N82" s="34"/>
      <c r="O82" s="2">
        <v>7</v>
      </c>
      <c r="P82" s="34"/>
      <c r="Q82" s="24"/>
      <c r="R82" s="24"/>
      <c r="S82" s="66">
        <v>14.7</v>
      </c>
      <c r="T82" s="66">
        <v>4.9000000000000004</v>
      </c>
      <c r="U82" s="24"/>
      <c r="V82" s="24"/>
      <c r="W82" s="66">
        <f t="shared" si="29"/>
        <v>2.9999999999999996</v>
      </c>
      <c r="X82" s="34"/>
      <c r="Y82" s="5">
        <f>K82</f>
        <v>4.6511627906976747</v>
      </c>
      <c r="Z82" s="66">
        <v>4.9000000000000004</v>
      </c>
      <c r="AA82" s="66">
        <v>6.35</v>
      </c>
      <c r="AB82" s="66">
        <v>4.7</v>
      </c>
      <c r="AC82" s="66">
        <v>4.76</v>
      </c>
      <c r="AD82" s="34"/>
      <c r="AE82" s="2"/>
      <c r="AF82" s="34"/>
      <c r="AG82" s="34"/>
      <c r="AH82" s="33"/>
    </row>
    <row r="83" spans="1:37" x14ac:dyDescent="0.4">
      <c r="A83" s="3"/>
      <c r="C83" s="2">
        <v>12</v>
      </c>
      <c r="D83" s="2"/>
      <c r="E83" s="24"/>
      <c r="F83" s="7"/>
      <c r="G83" s="43" t="s">
        <v>61</v>
      </c>
      <c r="H83" s="43" t="s">
        <v>61</v>
      </c>
      <c r="I83" s="24"/>
      <c r="J83" s="24"/>
      <c r="K83" s="26" t="s">
        <v>61</v>
      </c>
      <c r="L83" s="36"/>
      <c r="M83" s="6">
        <v>75</v>
      </c>
      <c r="N83" s="34"/>
      <c r="O83" s="2">
        <v>12</v>
      </c>
      <c r="P83" s="34"/>
      <c r="Q83" s="24"/>
      <c r="R83" s="24"/>
      <c r="S83" s="43" t="s">
        <v>61</v>
      </c>
      <c r="T83" s="43" t="s">
        <v>61</v>
      </c>
      <c r="U83" s="24"/>
      <c r="V83" s="24"/>
      <c r="W83" s="26" t="s">
        <v>61</v>
      </c>
      <c r="X83" s="34"/>
      <c r="Y83" s="17"/>
      <c r="Z83" s="66">
        <v>5.7</v>
      </c>
      <c r="AA83" s="66">
        <v>7.68</v>
      </c>
      <c r="AB83" s="66">
        <v>5.4</v>
      </c>
      <c r="AC83" s="66">
        <v>5.57</v>
      </c>
      <c r="AD83" s="34"/>
      <c r="AE83" s="2"/>
      <c r="AF83" s="34"/>
      <c r="AG83" s="34"/>
      <c r="AH83" s="33"/>
    </row>
    <row r="84" spans="1:37" x14ac:dyDescent="0.4">
      <c r="A84" s="8"/>
      <c r="B84" s="8"/>
      <c r="C84" s="9"/>
      <c r="D84" s="9"/>
      <c r="E84" s="18"/>
      <c r="F84" s="18"/>
      <c r="G84" s="22"/>
      <c r="H84" s="22"/>
      <c r="I84" s="22"/>
      <c r="J84" s="22"/>
      <c r="K84" s="22"/>
      <c r="L84" s="18"/>
      <c r="M84" s="18"/>
      <c r="N84" s="18"/>
      <c r="O84" s="18"/>
      <c r="P84" s="18"/>
      <c r="Q84" s="18"/>
      <c r="R84" s="22"/>
      <c r="S84" s="22"/>
      <c r="T84" s="22"/>
      <c r="U84" s="22"/>
      <c r="V84" s="22"/>
      <c r="W84" s="22"/>
      <c r="X84" s="18"/>
      <c r="Y84" s="22"/>
      <c r="Z84" s="22"/>
      <c r="AA84" s="22"/>
      <c r="AB84" s="22"/>
      <c r="AC84" s="22"/>
      <c r="AD84" s="18"/>
      <c r="AE84" s="18"/>
      <c r="AF84" s="18"/>
      <c r="AG84" s="18"/>
      <c r="AH84" s="18"/>
    </row>
    <row r="85" spans="1:37" x14ac:dyDescent="0.4">
      <c r="A85"/>
      <c r="AF85" s="15"/>
      <c r="AG85" s="15"/>
      <c r="AH85" s="15"/>
    </row>
    <row r="86" spans="1:37" x14ac:dyDescent="0.4">
      <c r="A86" s="47" t="s">
        <v>41</v>
      </c>
    </row>
    <row r="88" spans="1:37" x14ac:dyDescent="0.4">
      <c r="A88" s="1" t="s">
        <v>200</v>
      </c>
    </row>
    <row r="89" spans="1:37" s="1" customFormat="1" x14ac:dyDescent="0.4">
      <c r="A89" s="1" t="s">
        <v>203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37" x14ac:dyDescent="0.4">
      <c r="A90" s="1" t="s">
        <v>207</v>
      </c>
    </row>
    <row r="91" spans="1:37" s="1" customFormat="1" x14ac:dyDescent="0.4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37" s="1" customFormat="1" x14ac:dyDescent="0.4">
      <c r="A92" s="1" t="s">
        <v>205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1:37" x14ac:dyDescent="0.4">
      <c r="A93" s="1" t="s">
        <v>199</v>
      </c>
    </row>
    <row r="94" spans="1:37" s="1" customFormat="1" x14ac:dyDescent="0.4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1:37" s="1" customFormat="1" x14ac:dyDescent="0.4">
      <c r="A95" s="1" t="s">
        <v>201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37" x14ac:dyDescent="0.4">
      <c r="A96" s="1" t="s">
        <v>202</v>
      </c>
    </row>
    <row r="97" spans="1:1" x14ac:dyDescent="0.4">
      <c r="A97" s="1" t="s">
        <v>204</v>
      </c>
    </row>
    <row r="99" spans="1:1" x14ac:dyDescent="0.4">
      <c r="A99" s="1" t="s">
        <v>206</v>
      </c>
    </row>
    <row r="100" spans="1:1" x14ac:dyDescent="0.4">
      <c r="A100" s="1" t="s">
        <v>199</v>
      </c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8565-51FE-42E6-8725-D29D0D3CA9DF}">
  <sheetPr>
    <tabColor rgb="FF70AD47"/>
  </sheetPr>
  <dimension ref="A1:AK57"/>
  <sheetViews>
    <sheetView zoomScale="70" zoomScaleNormal="70" workbookViewId="0">
      <selection activeCell="A2" sqref="A2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140</v>
      </c>
      <c r="B5" s="1" t="s">
        <v>161</v>
      </c>
      <c r="C5" s="4"/>
      <c r="D5" s="2"/>
      <c r="E5" s="61"/>
      <c r="F5" s="7"/>
      <c r="G5" s="7"/>
      <c r="H5" s="7"/>
      <c r="I5" s="7"/>
      <c r="J5" s="24"/>
      <c r="K5" s="24"/>
      <c r="L5" s="36"/>
      <c r="M5" s="27"/>
      <c r="N5" s="34"/>
      <c r="O5" s="64"/>
      <c r="P5" s="34"/>
      <c r="Q5" s="24"/>
      <c r="R5" s="24"/>
      <c r="S5" s="24"/>
      <c r="T5" s="24"/>
      <c r="U5" s="24"/>
      <c r="V5" s="24"/>
      <c r="W5" s="24"/>
      <c r="X5" s="43">
        <v>3</v>
      </c>
      <c r="Y5" s="36"/>
      <c r="Z5" s="24"/>
      <c r="AA5" s="24"/>
      <c r="AB5" s="24"/>
      <c r="AC5" s="24"/>
      <c r="AD5" s="34"/>
      <c r="AE5" s="2" t="s">
        <v>37</v>
      </c>
      <c r="AF5" s="66">
        <v>12</v>
      </c>
      <c r="AG5" s="66">
        <v>3.7</v>
      </c>
      <c r="AH5" s="66">
        <f>AF5/AG5</f>
        <v>3.243243243243243</v>
      </c>
    </row>
    <row r="6" spans="1:37" x14ac:dyDescent="0.4">
      <c r="A6" s="3"/>
      <c r="C6" s="13">
        <v>-25</v>
      </c>
      <c r="D6" s="2"/>
      <c r="E6" s="61"/>
      <c r="F6" s="7"/>
      <c r="G6" s="66">
        <v>7.2</v>
      </c>
      <c r="H6" s="66">
        <v>3.85</v>
      </c>
      <c r="I6" s="7"/>
      <c r="J6" s="24"/>
      <c r="K6" s="66">
        <f>G6/H6</f>
        <v>1.8701298701298701</v>
      </c>
      <c r="L6" s="36"/>
      <c r="M6" s="6">
        <v>55</v>
      </c>
      <c r="N6" s="34"/>
      <c r="O6" s="2">
        <v>-25</v>
      </c>
      <c r="P6" s="34"/>
      <c r="Q6" s="24"/>
      <c r="R6" s="7"/>
      <c r="S6" s="66">
        <v>7.1</v>
      </c>
      <c r="T6" s="66">
        <v>5.68</v>
      </c>
      <c r="U6" s="7"/>
      <c r="V6" s="24"/>
      <c r="W6" s="66">
        <f>S6/T6</f>
        <v>1.25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7"/>
      <c r="G7" s="66">
        <v>8.1</v>
      </c>
      <c r="H7" s="66">
        <v>3.85</v>
      </c>
      <c r="I7" s="7"/>
      <c r="J7" s="24"/>
      <c r="K7" s="66">
        <f t="shared" ref="K7:K8" si="0">G7/H7</f>
        <v>2.1038961038961039</v>
      </c>
      <c r="L7" s="36"/>
      <c r="M7" s="6">
        <v>65</v>
      </c>
      <c r="N7" s="34"/>
      <c r="O7" s="2">
        <v>-20</v>
      </c>
      <c r="P7" s="34"/>
      <c r="Q7" s="24"/>
      <c r="R7" s="7"/>
      <c r="S7" s="66">
        <v>7.8</v>
      </c>
      <c r="T7" s="66">
        <v>5.21</v>
      </c>
      <c r="U7" s="7"/>
      <c r="V7" s="24"/>
      <c r="W7" s="66">
        <f t="shared" ref="W7:W8" si="1">S7/T7</f>
        <v>1.4971209213051824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15</v>
      </c>
      <c r="AG7" s="66">
        <v>3.9</v>
      </c>
      <c r="AH7" s="66">
        <f>AF7/AG7</f>
        <v>3.8461538461538463</v>
      </c>
    </row>
    <row r="8" spans="1:37" x14ac:dyDescent="0.4">
      <c r="A8" s="3"/>
      <c r="C8" s="2">
        <v>-15</v>
      </c>
      <c r="D8" s="2"/>
      <c r="E8" s="61"/>
      <c r="F8" s="7"/>
      <c r="G8" s="66">
        <v>9.4</v>
      </c>
      <c r="H8" s="66">
        <v>3.78</v>
      </c>
      <c r="I8" s="7"/>
      <c r="J8" s="24"/>
      <c r="K8" s="66">
        <f t="shared" si="0"/>
        <v>2.486772486772487</v>
      </c>
      <c r="L8" s="36"/>
      <c r="M8" s="6">
        <v>75</v>
      </c>
      <c r="N8" s="34"/>
      <c r="O8" s="2">
        <v>-15</v>
      </c>
      <c r="P8" s="34"/>
      <c r="Q8" s="24"/>
      <c r="R8" s="7"/>
      <c r="S8" s="66">
        <v>8.8000000000000007</v>
      </c>
      <c r="T8" s="66">
        <v>5.2</v>
      </c>
      <c r="U8" s="7"/>
      <c r="V8" s="24"/>
      <c r="W8" s="66">
        <f t="shared" si="1"/>
        <v>1.6923076923076923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12</v>
      </c>
      <c r="AG8" s="66">
        <v>2.4</v>
      </c>
      <c r="AH8" s="66">
        <f>AF8/AG8</f>
        <v>5</v>
      </c>
    </row>
    <row r="9" spans="1:37" x14ac:dyDescent="0.4">
      <c r="A9" s="3"/>
      <c r="C9" s="2">
        <v>-10</v>
      </c>
      <c r="D9" s="2"/>
      <c r="E9" s="61"/>
      <c r="F9" s="7"/>
      <c r="G9" s="43"/>
      <c r="H9" s="43"/>
      <c r="I9" s="7"/>
      <c r="J9" s="24"/>
      <c r="K9" s="29" t="s">
        <v>61</v>
      </c>
      <c r="L9" s="36"/>
      <c r="M9" s="6">
        <v>75</v>
      </c>
      <c r="N9" s="34"/>
      <c r="O9" s="2">
        <v>-10</v>
      </c>
      <c r="P9" s="34"/>
      <c r="Q9" s="24"/>
      <c r="R9" s="7"/>
      <c r="S9" s="43"/>
      <c r="T9" s="43"/>
      <c r="U9" s="7"/>
      <c r="V9" s="24"/>
      <c r="W9" s="29" t="s">
        <v>61</v>
      </c>
      <c r="X9" s="34"/>
      <c r="Y9" s="36" t="s">
        <v>39</v>
      </c>
      <c r="Z9" s="66">
        <v>10</v>
      </c>
      <c r="AA9" s="66">
        <v>2.76</v>
      </c>
      <c r="AB9" s="66">
        <v>9.8000000000000007</v>
      </c>
      <c r="AC9" s="66">
        <v>1.83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7"/>
      <c r="G10" s="66">
        <v>10.5</v>
      </c>
      <c r="H10" s="66">
        <v>3.5</v>
      </c>
      <c r="I10" s="7"/>
      <c r="J10" s="24"/>
      <c r="K10" s="66">
        <f>G10/H10</f>
        <v>3</v>
      </c>
      <c r="L10" s="36"/>
      <c r="M10" s="6">
        <v>75</v>
      </c>
      <c r="N10" s="34"/>
      <c r="O10" s="2">
        <v>-7</v>
      </c>
      <c r="P10" s="34"/>
      <c r="Q10" s="24"/>
      <c r="R10" s="7"/>
      <c r="S10" s="66">
        <v>10</v>
      </c>
      <c r="T10" s="66">
        <v>5.08</v>
      </c>
      <c r="U10" s="7"/>
      <c r="V10" s="24"/>
      <c r="W10" s="66">
        <f>S10/T10</f>
        <v>1.9685039370078741</v>
      </c>
      <c r="X10" s="34"/>
      <c r="Y10" s="5">
        <f>AA10*(1.029-(0.05*Z10/G12))</f>
        <v>2.9001124324324321</v>
      </c>
      <c r="Z10" s="66">
        <v>10.6</v>
      </c>
      <c r="AA10" s="66">
        <v>2.92</v>
      </c>
      <c r="AB10" s="66">
        <v>10</v>
      </c>
      <c r="AC10" s="66">
        <v>2.04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7"/>
      <c r="G11" s="66">
        <v>12.5</v>
      </c>
      <c r="H11" s="66">
        <v>3.71</v>
      </c>
      <c r="I11" s="7"/>
      <c r="J11" s="24"/>
      <c r="K11" s="66">
        <f t="shared" ref="K11:K12" si="2">G11/H11</f>
        <v>3.3692722371967654</v>
      </c>
      <c r="L11" s="36"/>
      <c r="M11" s="6">
        <v>75</v>
      </c>
      <c r="N11" s="34"/>
      <c r="O11" s="2">
        <v>2</v>
      </c>
      <c r="P11" s="34"/>
      <c r="Q11" s="24"/>
      <c r="R11" s="7"/>
      <c r="S11" s="66">
        <v>12</v>
      </c>
      <c r="T11" s="66">
        <v>5.29</v>
      </c>
      <c r="U11" s="7"/>
      <c r="V11" s="24"/>
      <c r="W11" s="66">
        <f t="shared" ref="W11:W12" si="3">S11/T11</f>
        <v>2.2684310018903591</v>
      </c>
      <c r="X11" s="34"/>
      <c r="Y11" s="5">
        <f>AA11*(0.906-(0.044*Z11/G12))</f>
        <v>4.0698413513513518</v>
      </c>
      <c r="Z11" s="66">
        <v>6.5</v>
      </c>
      <c r="AA11" s="66">
        <v>4.59</v>
      </c>
      <c r="AB11" s="66">
        <v>6.5</v>
      </c>
      <c r="AC11" s="66">
        <v>3.56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7"/>
      <c r="G12" s="66">
        <v>14.8</v>
      </c>
      <c r="H12" s="66">
        <v>3.14</v>
      </c>
      <c r="I12" s="7"/>
      <c r="J12" s="24"/>
      <c r="K12" s="66">
        <f t="shared" si="2"/>
        <v>4.7133757961783438</v>
      </c>
      <c r="L12" s="36"/>
      <c r="M12" s="6">
        <v>75</v>
      </c>
      <c r="N12" s="34"/>
      <c r="O12" s="2">
        <v>7</v>
      </c>
      <c r="P12" s="34"/>
      <c r="Q12" s="24"/>
      <c r="R12" s="7"/>
      <c r="S12" s="66">
        <v>14.1</v>
      </c>
      <c r="T12" s="66">
        <v>4.67</v>
      </c>
      <c r="U12" s="7"/>
      <c r="V12" s="24"/>
      <c r="W12" s="66">
        <f t="shared" si="3"/>
        <v>3.0192719486081372</v>
      </c>
      <c r="X12" s="34"/>
      <c r="Y12" s="5">
        <f>K12</f>
        <v>4.7133757961783438</v>
      </c>
      <c r="Z12" s="66">
        <v>4.8</v>
      </c>
      <c r="AA12" s="66">
        <v>5.98</v>
      </c>
      <c r="AB12" s="66">
        <v>4.7</v>
      </c>
      <c r="AC12" s="66">
        <v>4.5999999999999996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24"/>
      <c r="G13" s="26" t="s">
        <v>61</v>
      </c>
      <c r="H13" s="26" t="s">
        <v>61</v>
      </c>
      <c r="I13" s="24"/>
      <c r="J13" s="24"/>
      <c r="K13" s="26" t="s">
        <v>61</v>
      </c>
      <c r="L13" s="36"/>
      <c r="M13" s="6">
        <v>75</v>
      </c>
      <c r="N13" s="34"/>
      <c r="O13" s="2">
        <v>12</v>
      </c>
      <c r="P13" s="34"/>
      <c r="Q13" s="24"/>
      <c r="R13" s="24"/>
      <c r="S13" s="26" t="s">
        <v>61</v>
      </c>
      <c r="T13" s="26" t="s">
        <v>61</v>
      </c>
      <c r="U13" s="24"/>
      <c r="V13" s="24"/>
      <c r="W13" s="26" t="s">
        <v>61</v>
      </c>
      <c r="X13" s="34"/>
      <c r="Y13" s="36"/>
      <c r="Z13" s="66">
        <v>5.5</v>
      </c>
      <c r="AA13" s="66">
        <v>7.54</v>
      </c>
      <c r="AB13" s="66">
        <v>5.2</v>
      </c>
      <c r="AC13" s="66">
        <v>5.52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30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 t="s">
        <v>167</v>
      </c>
      <c r="B15" s="1" t="s">
        <v>161</v>
      </c>
      <c r="C15" s="4"/>
      <c r="D15" s="2"/>
      <c r="E15" s="61"/>
      <c r="F15" s="24"/>
      <c r="G15" s="24"/>
      <c r="H15" s="24"/>
      <c r="I15" s="24"/>
      <c r="J15" s="24"/>
      <c r="K15" s="24"/>
      <c r="L15" s="36"/>
      <c r="M15" s="27"/>
      <c r="N15" s="34"/>
      <c r="O15" s="64"/>
      <c r="P15" s="34"/>
      <c r="Q15" s="24"/>
      <c r="R15" s="24"/>
      <c r="S15" s="24"/>
      <c r="T15" s="24"/>
      <c r="U15" s="24"/>
      <c r="V15" s="24"/>
      <c r="W15" s="24"/>
      <c r="X15" s="43">
        <v>6</v>
      </c>
      <c r="Y15" s="36"/>
      <c r="Z15" s="24"/>
      <c r="AA15" s="24"/>
      <c r="AB15" s="24"/>
      <c r="AC15" s="24"/>
      <c r="AD15" s="34"/>
      <c r="AE15" s="2" t="s">
        <v>37</v>
      </c>
      <c r="AF15" s="66">
        <v>12</v>
      </c>
      <c r="AG15" s="66">
        <v>3.7</v>
      </c>
      <c r="AH15" s="66">
        <f>AF15/AG15</f>
        <v>3.243243243243243</v>
      </c>
    </row>
    <row r="16" spans="1:37" x14ac:dyDescent="0.4">
      <c r="A16" s="3"/>
      <c r="C16" s="13">
        <v>-25</v>
      </c>
      <c r="D16" s="2"/>
      <c r="E16" s="61"/>
      <c r="F16" s="7"/>
      <c r="G16" s="66">
        <v>7.2</v>
      </c>
      <c r="H16" s="66">
        <v>3.85</v>
      </c>
      <c r="I16" s="24"/>
      <c r="J16" s="24"/>
      <c r="K16" s="66">
        <f>G16/H16</f>
        <v>1.8701298701298701</v>
      </c>
      <c r="L16" s="36"/>
      <c r="M16" s="6">
        <v>55</v>
      </c>
      <c r="N16" s="34"/>
      <c r="O16" s="2">
        <v>-25</v>
      </c>
      <c r="P16" s="34"/>
      <c r="Q16" s="24"/>
      <c r="R16" s="7"/>
      <c r="S16" s="66">
        <v>7.1</v>
      </c>
      <c r="T16" s="66">
        <v>5.68</v>
      </c>
      <c r="U16" s="24"/>
      <c r="V16" s="24"/>
      <c r="W16" s="66">
        <f>S16/T16</f>
        <v>1.25</v>
      </c>
      <c r="X16" s="34"/>
      <c r="Y16" s="36"/>
      <c r="Z16" s="24"/>
      <c r="AA16" s="24"/>
      <c r="AB16" s="24"/>
      <c r="AC16" s="24"/>
      <c r="AD16" s="34"/>
      <c r="AE16" s="2"/>
      <c r="AF16" s="7"/>
      <c r="AG16" s="7"/>
      <c r="AH16" s="7"/>
    </row>
    <row r="17" spans="1:34" x14ac:dyDescent="0.4">
      <c r="A17" s="46"/>
      <c r="C17" s="13">
        <v>-20</v>
      </c>
      <c r="D17" s="2"/>
      <c r="E17" s="61"/>
      <c r="F17" s="7"/>
      <c r="G17" s="66">
        <v>8.1</v>
      </c>
      <c r="H17" s="66">
        <v>3.85</v>
      </c>
      <c r="I17" s="24"/>
      <c r="J17" s="24"/>
      <c r="K17" s="66">
        <f t="shared" ref="K17:K18" si="4">G17/H17</f>
        <v>2.1038961038961039</v>
      </c>
      <c r="L17" s="36"/>
      <c r="M17" s="6">
        <v>65</v>
      </c>
      <c r="N17" s="34"/>
      <c r="O17" s="2">
        <v>-20</v>
      </c>
      <c r="P17" s="34"/>
      <c r="Q17" s="24"/>
      <c r="R17" s="7"/>
      <c r="S17" s="66">
        <v>7.8</v>
      </c>
      <c r="T17" s="66">
        <v>5.21</v>
      </c>
      <c r="U17" s="24"/>
      <c r="V17" s="24"/>
      <c r="W17" s="66">
        <f t="shared" ref="W17:W18" si="5">S17/T17</f>
        <v>1.4971209213051824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6">
        <v>15</v>
      </c>
      <c r="AG17" s="66">
        <v>3.9</v>
      </c>
      <c r="AH17" s="66">
        <f>AF17/AG17</f>
        <v>3.8461538461538463</v>
      </c>
    </row>
    <row r="18" spans="1:34" x14ac:dyDescent="0.4">
      <c r="A18" s="3"/>
      <c r="C18" s="2">
        <v>-15</v>
      </c>
      <c r="D18" s="2"/>
      <c r="E18" s="61"/>
      <c r="F18" s="7"/>
      <c r="G18" s="66">
        <v>9.4</v>
      </c>
      <c r="H18" s="66">
        <v>3.78</v>
      </c>
      <c r="I18" s="24"/>
      <c r="J18" s="24"/>
      <c r="K18" s="66">
        <f t="shared" si="4"/>
        <v>2.486772486772487</v>
      </c>
      <c r="L18" s="36"/>
      <c r="M18" s="6">
        <v>75</v>
      </c>
      <c r="N18" s="34"/>
      <c r="O18" s="2">
        <v>-15</v>
      </c>
      <c r="P18" s="34"/>
      <c r="Q18" s="24"/>
      <c r="R18" s="7"/>
      <c r="S18" s="66">
        <v>8.8000000000000007</v>
      </c>
      <c r="T18" s="66">
        <v>5.2</v>
      </c>
      <c r="U18" s="24"/>
      <c r="V18" s="24"/>
      <c r="W18" s="66">
        <f t="shared" si="5"/>
        <v>1.6923076923076923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6">
        <v>12</v>
      </c>
      <c r="AG18" s="66">
        <v>2.4</v>
      </c>
      <c r="AH18" s="66">
        <f>AF18/AG18</f>
        <v>5</v>
      </c>
    </row>
    <row r="19" spans="1:34" x14ac:dyDescent="0.4">
      <c r="A19" s="3"/>
      <c r="C19" s="2">
        <v>-10</v>
      </c>
      <c r="D19" s="2"/>
      <c r="E19" s="61"/>
      <c r="F19" s="7"/>
      <c r="G19" s="43"/>
      <c r="H19" s="43"/>
      <c r="I19" s="24"/>
      <c r="J19" s="24"/>
      <c r="K19" s="29" t="s">
        <v>61</v>
      </c>
      <c r="L19" s="36"/>
      <c r="M19" s="6">
        <v>75</v>
      </c>
      <c r="N19" s="34"/>
      <c r="O19" s="2">
        <v>-10</v>
      </c>
      <c r="P19" s="34"/>
      <c r="Q19" s="24"/>
      <c r="R19" s="7"/>
      <c r="S19" s="43"/>
      <c r="T19" s="43"/>
      <c r="U19" s="24"/>
      <c r="V19" s="24"/>
      <c r="W19" s="29" t="s">
        <v>61</v>
      </c>
      <c r="X19" s="34"/>
      <c r="Y19" s="36" t="s">
        <v>39</v>
      </c>
      <c r="Z19" s="66">
        <v>10</v>
      </c>
      <c r="AA19" s="66">
        <v>2.76</v>
      </c>
      <c r="AB19" s="66">
        <v>9.8000000000000007</v>
      </c>
      <c r="AC19" s="66">
        <v>1.83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61"/>
      <c r="F20" s="7"/>
      <c r="G20" s="66">
        <v>10.5</v>
      </c>
      <c r="H20" s="66">
        <v>3.5</v>
      </c>
      <c r="I20" s="24"/>
      <c r="J20" s="24"/>
      <c r="K20" s="66">
        <f>G20/H20</f>
        <v>3</v>
      </c>
      <c r="L20" s="36"/>
      <c r="M20" s="6">
        <v>75</v>
      </c>
      <c r="N20" s="34"/>
      <c r="O20" s="2">
        <v>-7</v>
      </c>
      <c r="P20" s="34"/>
      <c r="Q20" s="24"/>
      <c r="R20" s="7"/>
      <c r="S20" s="66">
        <v>10</v>
      </c>
      <c r="T20" s="66">
        <v>5.08</v>
      </c>
      <c r="U20" s="24"/>
      <c r="V20" s="24"/>
      <c r="W20" s="66">
        <f>S20/T20</f>
        <v>1.9685039370078741</v>
      </c>
      <c r="X20" s="34"/>
      <c r="Y20" s="5">
        <f>AA20*(1.029-(0.05*Z20/G22))</f>
        <v>2.9001124324324321</v>
      </c>
      <c r="Z20" s="66">
        <v>10.6</v>
      </c>
      <c r="AA20" s="66">
        <v>2.92</v>
      </c>
      <c r="AB20" s="66">
        <v>10</v>
      </c>
      <c r="AC20" s="66">
        <v>2.04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61"/>
      <c r="F21" s="7"/>
      <c r="G21" s="66">
        <v>12.5</v>
      </c>
      <c r="H21" s="66">
        <v>3.71</v>
      </c>
      <c r="I21" s="24"/>
      <c r="J21" s="24"/>
      <c r="K21" s="66">
        <f t="shared" ref="K21:K22" si="6">G21/H21</f>
        <v>3.3692722371967654</v>
      </c>
      <c r="L21" s="36"/>
      <c r="M21" s="6">
        <v>75</v>
      </c>
      <c r="N21" s="34"/>
      <c r="O21" s="2">
        <v>2</v>
      </c>
      <c r="P21" s="34"/>
      <c r="Q21" s="24"/>
      <c r="R21" s="7"/>
      <c r="S21" s="66">
        <v>12</v>
      </c>
      <c r="T21" s="66">
        <v>5.29</v>
      </c>
      <c r="U21" s="24"/>
      <c r="V21" s="24"/>
      <c r="W21" s="66">
        <f t="shared" ref="W21:W22" si="7">S21/T21</f>
        <v>2.2684310018903591</v>
      </c>
      <c r="X21" s="34"/>
      <c r="Y21" s="5">
        <f>AA21*(0.906-(0.044*Z21/G22))</f>
        <v>4.0698413513513518</v>
      </c>
      <c r="Z21" s="66">
        <v>6.5</v>
      </c>
      <c r="AA21" s="66">
        <v>4.59</v>
      </c>
      <c r="AB21" s="66">
        <v>6.5</v>
      </c>
      <c r="AC21" s="66">
        <v>3.56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61"/>
      <c r="F22" s="7"/>
      <c r="G22" s="66">
        <v>14.8</v>
      </c>
      <c r="H22" s="66">
        <v>3.14</v>
      </c>
      <c r="I22" s="24"/>
      <c r="J22" s="24"/>
      <c r="K22" s="66">
        <f t="shared" si="6"/>
        <v>4.7133757961783438</v>
      </c>
      <c r="L22" s="36"/>
      <c r="M22" s="6">
        <v>75</v>
      </c>
      <c r="N22" s="34"/>
      <c r="O22" s="2">
        <v>7</v>
      </c>
      <c r="P22" s="34"/>
      <c r="Q22" s="24"/>
      <c r="R22" s="7"/>
      <c r="S22" s="66">
        <v>14.1</v>
      </c>
      <c r="T22" s="66">
        <v>4.67</v>
      </c>
      <c r="U22" s="24"/>
      <c r="V22" s="24"/>
      <c r="W22" s="66">
        <f t="shared" si="7"/>
        <v>3.0192719486081372</v>
      </c>
      <c r="X22" s="34"/>
      <c r="Y22" s="5">
        <f>K22</f>
        <v>4.7133757961783438</v>
      </c>
      <c r="Z22" s="66">
        <v>4.8</v>
      </c>
      <c r="AA22" s="66">
        <v>5.98</v>
      </c>
      <c r="AB22" s="66">
        <v>4.7</v>
      </c>
      <c r="AC22" s="66">
        <v>4.5999999999999996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61"/>
      <c r="F23" s="24"/>
      <c r="G23" s="26" t="s">
        <v>61</v>
      </c>
      <c r="H23" s="26" t="s">
        <v>61</v>
      </c>
      <c r="I23" s="24"/>
      <c r="J23" s="24"/>
      <c r="K23" s="26" t="s">
        <v>61</v>
      </c>
      <c r="L23" s="36"/>
      <c r="M23" s="6">
        <v>75</v>
      </c>
      <c r="N23" s="34"/>
      <c r="O23" s="2">
        <v>12</v>
      </c>
      <c r="P23" s="34"/>
      <c r="Q23" s="24"/>
      <c r="R23" s="24"/>
      <c r="S23" s="26" t="s">
        <v>61</v>
      </c>
      <c r="T23" s="26" t="s">
        <v>61</v>
      </c>
      <c r="U23" s="24"/>
      <c r="V23" s="24"/>
      <c r="W23" s="26" t="s">
        <v>61</v>
      </c>
      <c r="X23" s="34"/>
      <c r="Y23" s="36"/>
      <c r="Z23" s="66">
        <v>5.5</v>
      </c>
      <c r="AA23" s="66">
        <v>7.54</v>
      </c>
      <c r="AB23" s="66">
        <v>5.2</v>
      </c>
      <c r="AC23" s="66">
        <v>5.52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30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 t="s">
        <v>140</v>
      </c>
      <c r="B25" s="1" t="s">
        <v>162</v>
      </c>
      <c r="C25" s="4"/>
      <c r="D25" s="2"/>
      <c r="E25" s="24"/>
      <c r="F25" s="24"/>
      <c r="G25" s="24"/>
      <c r="H25" s="24"/>
      <c r="I25" s="24"/>
      <c r="J25" s="24"/>
      <c r="K25" s="24"/>
      <c r="L25" s="36"/>
      <c r="M25" s="27"/>
      <c r="N25" s="34"/>
      <c r="O25" s="64"/>
      <c r="P25" s="34"/>
      <c r="Q25" s="24"/>
      <c r="R25" s="24"/>
      <c r="S25" s="24"/>
      <c r="T25" s="24"/>
      <c r="U25" s="24"/>
      <c r="V25" s="24"/>
      <c r="W25" s="24"/>
      <c r="X25" s="4">
        <v>3</v>
      </c>
      <c r="Y25" s="36"/>
      <c r="Z25" s="24"/>
      <c r="AA25" s="24"/>
      <c r="AB25" s="24"/>
      <c r="AC25" s="24"/>
      <c r="AD25" s="34"/>
      <c r="AE25" s="2" t="s">
        <v>37</v>
      </c>
      <c r="AF25" s="66">
        <v>14</v>
      </c>
      <c r="AG25" s="66">
        <v>4.38</v>
      </c>
      <c r="AH25" s="66">
        <f>AF25/AG25</f>
        <v>3.1963470319634704</v>
      </c>
    </row>
    <row r="26" spans="1:34" x14ac:dyDescent="0.4">
      <c r="A26" s="3"/>
      <c r="C26" s="13">
        <v>-25</v>
      </c>
      <c r="D26" s="2"/>
      <c r="E26" s="24"/>
      <c r="F26" s="7"/>
      <c r="G26" s="66">
        <v>8.3000000000000007</v>
      </c>
      <c r="H26" s="66">
        <v>4.68</v>
      </c>
      <c r="I26" s="24"/>
      <c r="J26" s="24"/>
      <c r="K26" s="66">
        <f>G26/H26</f>
        <v>1.7735042735042739</v>
      </c>
      <c r="L26" s="36"/>
      <c r="M26" s="6">
        <v>55</v>
      </c>
      <c r="N26" s="34"/>
      <c r="O26" s="2">
        <v>-25</v>
      </c>
      <c r="P26" s="34"/>
      <c r="Q26" s="24"/>
      <c r="R26" s="24"/>
      <c r="S26" s="66">
        <v>7.15</v>
      </c>
      <c r="T26" s="66">
        <v>5.7</v>
      </c>
      <c r="U26" s="24"/>
      <c r="V26" s="24"/>
      <c r="W26" s="66">
        <f>S26/T26</f>
        <v>1.2543859649122808</v>
      </c>
      <c r="X26" s="34"/>
      <c r="Y26" s="36"/>
      <c r="Z26" s="24"/>
      <c r="AA26" s="24"/>
      <c r="AB26" s="24"/>
      <c r="AC26" s="24"/>
      <c r="AD26" s="34"/>
      <c r="AE26" s="2"/>
      <c r="AF26" s="7"/>
      <c r="AG26" s="7"/>
      <c r="AH26" s="7"/>
    </row>
    <row r="27" spans="1:34" x14ac:dyDescent="0.4">
      <c r="A27" s="46"/>
      <c r="C27" s="13">
        <v>-20</v>
      </c>
      <c r="D27" s="2"/>
      <c r="E27" s="24"/>
      <c r="F27" s="7"/>
      <c r="G27" s="66">
        <v>9</v>
      </c>
      <c r="H27" s="66">
        <v>4.3600000000000003</v>
      </c>
      <c r="I27" s="24"/>
      <c r="J27" s="24"/>
      <c r="K27" s="66">
        <f t="shared" ref="K27:K32" si="8">G27/H27</f>
        <v>2.0642201834862384</v>
      </c>
      <c r="L27" s="36"/>
      <c r="M27" s="6">
        <v>65</v>
      </c>
      <c r="N27" s="34"/>
      <c r="O27" s="2">
        <v>-20</v>
      </c>
      <c r="P27" s="34"/>
      <c r="Q27" s="24"/>
      <c r="R27" s="24"/>
      <c r="S27" s="66">
        <v>8.1999999999999993</v>
      </c>
      <c r="T27" s="66">
        <v>5.57</v>
      </c>
      <c r="U27" s="24"/>
      <c r="V27" s="24"/>
      <c r="W27" s="66">
        <f t="shared" ref="W27:W32" si="9">S27/T27</f>
        <v>1.4721723518850987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6">
        <v>17</v>
      </c>
      <c r="AG27" s="66">
        <v>4.5199999999999996</v>
      </c>
      <c r="AH27" s="66">
        <f>AF27/AG27</f>
        <v>3.7610619469026552</v>
      </c>
    </row>
    <row r="28" spans="1:34" x14ac:dyDescent="0.4">
      <c r="A28" s="3"/>
      <c r="C28" s="2">
        <v>-15</v>
      </c>
      <c r="D28" s="2"/>
      <c r="E28" s="24"/>
      <c r="F28" s="7"/>
      <c r="G28" s="66">
        <v>10.5</v>
      </c>
      <c r="H28" s="66">
        <v>4.38</v>
      </c>
      <c r="I28" s="24"/>
      <c r="J28" s="24"/>
      <c r="K28" s="66">
        <f t="shared" si="8"/>
        <v>2.397260273972603</v>
      </c>
      <c r="L28" s="36"/>
      <c r="M28" s="6">
        <v>75</v>
      </c>
      <c r="N28" s="34"/>
      <c r="O28" s="2">
        <v>-15</v>
      </c>
      <c r="P28" s="34"/>
      <c r="Q28" s="24"/>
      <c r="R28" s="24"/>
      <c r="S28" s="66">
        <v>9.3000000000000007</v>
      </c>
      <c r="T28" s="66">
        <v>5.57</v>
      </c>
      <c r="U28" s="24"/>
      <c r="V28" s="24"/>
      <c r="W28" s="66">
        <f t="shared" si="9"/>
        <v>1.6696588868940754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6">
        <v>15.5</v>
      </c>
      <c r="AG28" s="66">
        <v>3.27</v>
      </c>
      <c r="AH28" s="66">
        <f>AF28/AG28</f>
        <v>4.7400611620795106</v>
      </c>
    </row>
    <row r="29" spans="1:34" x14ac:dyDescent="0.4">
      <c r="A29" s="3"/>
      <c r="C29" s="2">
        <v>-10</v>
      </c>
      <c r="D29" s="2"/>
      <c r="E29" s="24"/>
      <c r="F29" s="7"/>
      <c r="G29" s="43"/>
      <c r="H29" s="43"/>
      <c r="I29" s="24"/>
      <c r="J29" s="24"/>
      <c r="K29" s="66"/>
      <c r="L29" s="36"/>
      <c r="M29" s="6">
        <v>75</v>
      </c>
      <c r="N29" s="34"/>
      <c r="O29" s="2">
        <v>-10</v>
      </c>
      <c r="P29" s="34"/>
      <c r="Q29" s="24"/>
      <c r="R29" s="24"/>
      <c r="S29" s="43"/>
      <c r="T29" s="43"/>
      <c r="U29" s="24"/>
      <c r="V29" s="24"/>
      <c r="W29" s="66"/>
      <c r="X29" s="34"/>
      <c r="Y29" s="17" t="s">
        <v>39</v>
      </c>
      <c r="Z29" s="66">
        <v>11.2</v>
      </c>
      <c r="AA29" s="66">
        <v>2.83</v>
      </c>
      <c r="AB29" s="66">
        <v>10</v>
      </c>
      <c r="AC29" s="66">
        <v>1.92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24"/>
      <c r="F30" s="7"/>
      <c r="G30" s="66">
        <v>11.7</v>
      </c>
      <c r="H30" s="66">
        <v>4.45</v>
      </c>
      <c r="I30" s="24"/>
      <c r="J30" s="24"/>
      <c r="K30" s="66">
        <f t="shared" si="8"/>
        <v>2.6292134831460672</v>
      </c>
      <c r="L30" s="36"/>
      <c r="M30" s="6">
        <v>75</v>
      </c>
      <c r="N30" s="34"/>
      <c r="O30" s="2">
        <v>-7</v>
      </c>
      <c r="P30" s="34"/>
      <c r="Q30" s="24"/>
      <c r="R30" s="24"/>
      <c r="S30" s="66">
        <v>10.8</v>
      </c>
      <c r="T30" s="66">
        <v>5.68</v>
      </c>
      <c r="U30" s="24"/>
      <c r="V30" s="24"/>
      <c r="W30" s="66">
        <f t="shared" si="9"/>
        <v>1.9014084507042255</v>
      </c>
      <c r="X30" s="34"/>
      <c r="Y30" s="5">
        <f>AA30*(1.029-(0.05*Z30/G32))</f>
        <v>2.7896274999999999</v>
      </c>
      <c r="Z30" s="66">
        <v>11.6</v>
      </c>
      <c r="AA30" s="66">
        <v>2.81</v>
      </c>
      <c r="AB30" s="66">
        <v>10.8</v>
      </c>
      <c r="AC30" s="66">
        <v>2.04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24"/>
      <c r="F31" s="7"/>
      <c r="G31" s="66">
        <v>13</v>
      </c>
      <c r="H31" s="66">
        <v>3.94</v>
      </c>
      <c r="I31" s="24"/>
      <c r="J31" s="24"/>
      <c r="K31" s="66">
        <f t="shared" si="8"/>
        <v>3.2994923857868019</v>
      </c>
      <c r="L31" s="36"/>
      <c r="M31" s="6">
        <v>75</v>
      </c>
      <c r="N31" s="34"/>
      <c r="O31" s="2">
        <v>2</v>
      </c>
      <c r="P31" s="34"/>
      <c r="Q31" s="24"/>
      <c r="R31" s="24"/>
      <c r="S31" s="66">
        <v>12</v>
      </c>
      <c r="T31" s="66">
        <v>5.29</v>
      </c>
      <c r="U31" s="24"/>
      <c r="V31" s="24"/>
      <c r="W31" s="66">
        <f t="shared" si="9"/>
        <v>2.2684310018903591</v>
      </c>
      <c r="X31" s="34"/>
      <c r="Y31" s="5">
        <f>AA31*(0.906-(0.044*Z31/G32))</f>
        <v>3.9222112499999997</v>
      </c>
      <c r="Z31" s="66">
        <v>7.5</v>
      </c>
      <c r="AA31" s="66">
        <v>4.43</v>
      </c>
      <c r="AB31" s="66">
        <v>7</v>
      </c>
      <c r="AC31" s="66">
        <v>3.64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24"/>
      <c r="F32" s="7"/>
      <c r="G32" s="66">
        <v>16</v>
      </c>
      <c r="H32" s="66">
        <v>3.44</v>
      </c>
      <c r="I32" s="24"/>
      <c r="J32" s="24"/>
      <c r="K32" s="66">
        <f t="shared" si="8"/>
        <v>4.6511627906976747</v>
      </c>
      <c r="L32" s="36"/>
      <c r="M32" s="6">
        <v>75</v>
      </c>
      <c r="N32" s="34"/>
      <c r="O32" s="2">
        <v>7</v>
      </c>
      <c r="P32" s="34"/>
      <c r="Q32" s="24"/>
      <c r="R32" s="24"/>
      <c r="S32" s="66">
        <v>14.7</v>
      </c>
      <c r="T32" s="66">
        <v>4.9000000000000004</v>
      </c>
      <c r="U32" s="24"/>
      <c r="V32" s="24"/>
      <c r="W32" s="66">
        <f t="shared" si="9"/>
        <v>2.9999999999999996</v>
      </c>
      <c r="X32" s="34"/>
      <c r="Y32" s="5">
        <f>K32</f>
        <v>4.6511627906976747</v>
      </c>
      <c r="Z32" s="66">
        <v>4.9000000000000004</v>
      </c>
      <c r="AA32" s="66">
        <v>6.35</v>
      </c>
      <c r="AB32" s="66">
        <v>4.7</v>
      </c>
      <c r="AC32" s="66">
        <v>4.76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24"/>
      <c r="F33" s="24"/>
      <c r="G33" s="26" t="s">
        <v>61</v>
      </c>
      <c r="H33" s="26" t="s">
        <v>61</v>
      </c>
      <c r="I33" s="24"/>
      <c r="J33" s="24"/>
      <c r="K33" s="26" t="s">
        <v>61</v>
      </c>
      <c r="L33" s="36"/>
      <c r="M33" s="6">
        <v>75</v>
      </c>
      <c r="N33" s="34"/>
      <c r="O33" s="2">
        <v>12</v>
      </c>
      <c r="P33" s="34"/>
      <c r="Q33" s="24"/>
      <c r="R33" s="24"/>
      <c r="S33" s="26" t="s">
        <v>61</v>
      </c>
      <c r="T33" s="26" t="s">
        <v>61</v>
      </c>
      <c r="U33" s="24"/>
      <c r="V33" s="24"/>
      <c r="W33" s="26" t="s">
        <v>61</v>
      </c>
      <c r="X33" s="34"/>
      <c r="Y33" s="17"/>
      <c r="Z33" s="66">
        <v>5.7</v>
      </c>
      <c r="AA33" s="66">
        <v>7.68</v>
      </c>
      <c r="AB33" s="66">
        <v>5.4</v>
      </c>
      <c r="AC33" s="66">
        <v>5.57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x14ac:dyDescent="0.4">
      <c r="A35" s="3" t="s">
        <v>167</v>
      </c>
      <c r="B35" s="1" t="s">
        <v>162</v>
      </c>
      <c r="C35" s="4"/>
      <c r="D35" s="2"/>
      <c r="E35" s="24"/>
      <c r="F35" s="24"/>
      <c r="G35" s="24"/>
      <c r="H35" s="24"/>
      <c r="I35" s="24"/>
      <c r="J35" s="24"/>
      <c r="K35" s="24"/>
      <c r="L35" s="36"/>
      <c r="M35" s="27"/>
      <c r="N35" s="34"/>
      <c r="O35" s="64"/>
      <c r="P35" s="34"/>
      <c r="Q35" s="24"/>
      <c r="R35" s="24"/>
      <c r="S35" s="24"/>
      <c r="T35" s="24"/>
      <c r="U35" s="24"/>
      <c r="V35" s="24"/>
      <c r="W35" s="24"/>
      <c r="X35" s="4">
        <v>6</v>
      </c>
      <c r="Y35" s="36"/>
      <c r="Z35" s="24"/>
      <c r="AA35" s="24"/>
      <c r="AB35" s="24"/>
      <c r="AC35" s="24"/>
      <c r="AD35" s="34"/>
      <c r="AE35" s="2" t="s">
        <v>37</v>
      </c>
      <c r="AF35" s="66">
        <v>14</v>
      </c>
      <c r="AG35" s="66">
        <v>4.38</v>
      </c>
      <c r="AH35" s="66">
        <f>AF35/AG35</f>
        <v>3.1963470319634704</v>
      </c>
    </row>
    <row r="36" spans="1:34" x14ac:dyDescent="0.4">
      <c r="A36" s="3"/>
      <c r="C36" s="13">
        <v>-25</v>
      </c>
      <c r="D36" s="2"/>
      <c r="E36" s="24"/>
      <c r="F36" s="7"/>
      <c r="G36" s="66">
        <v>8.3000000000000007</v>
      </c>
      <c r="H36" s="66">
        <v>4.68</v>
      </c>
      <c r="I36" s="7"/>
      <c r="J36" s="24"/>
      <c r="K36" s="66">
        <f>G36/H36</f>
        <v>1.7735042735042739</v>
      </c>
      <c r="L36" s="36"/>
      <c r="M36" s="6">
        <v>55</v>
      </c>
      <c r="N36" s="34"/>
      <c r="O36" s="2">
        <v>-25</v>
      </c>
      <c r="P36" s="34"/>
      <c r="Q36" s="24"/>
      <c r="R36" s="24"/>
      <c r="S36" s="66">
        <v>7.15</v>
      </c>
      <c r="T36" s="66">
        <v>5.7</v>
      </c>
      <c r="U36" s="24"/>
      <c r="V36" s="24"/>
      <c r="W36" s="66">
        <f>S36/T36</f>
        <v>1.2543859649122808</v>
      </c>
      <c r="X36" s="34"/>
      <c r="Y36" s="36"/>
      <c r="Z36" s="24"/>
      <c r="AA36" s="24"/>
      <c r="AB36" s="24"/>
      <c r="AC36" s="24"/>
      <c r="AD36" s="34"/>
      <c r="AE36" s="2"/>
      <c r="AF36" s="7"/>
      <c r="AG36" s="7"/>
      <c r="AH36" s="7"/>
    </row>
    <row r="37" spans="1:34" x14ac:dyDescent="0.4">
      <c r="A37" s="46"/>
      <c r="C37" s="13">
        <v>-20</v>
      </c>
      <c r="D37" s="2"/>
      <c r="E37" s="24"/>
      <c r="F37" s="7"/>
      <c r="G37" s="66">
        <v>9</v>
      </c>
      <c r="H37" s="66">
        <v>4.3600000000000003</v>
      </c>
      <c r="I37" s="7"/>
      <c r="J37" s="24"/>
      <c r="K37" s="66">
        <f t="shared" ref="K37:K38" si="10">G37/H37</f>
        <v>2.0642201834862384</v>
      </c>
      <c r="L37" s="36"/>
      <c r="M37" s="6">
        <v>65</v>
      </c>
      <c r="N37" s="34"/>
      <c r="O37" s="2">
        <v>-20</v>
      </c>
      <c r="P37" s="34"/>
      <c r="Q37" s="24"/>
      <c r="R37" s="24"/>
      <c r="S37" s="66">
        <v>8.1999999999999993</v>
      </c>
      <c r="T37" s="66">
        <v>5.57</v>
      </c>
      <c r="U37" s="24"/>
      <c r="V37" s="24"/>
      <c r="W37" s="66">
        <f t="shared" ref="W37:W38" si="11">S37/T37</f>
        <v>1.4721723518850987</v>
      </c>
      <c r="X37" s="34"/>
      <c r="Y37" s="36"/>
      <c r="Z37" s="24"/>
      <c r="AA37" s="24"/>
      <c r="AB37" s="24"/>
      <c r="AC37" s="24"/>
      <c r="AD37" s="34"/>
      <c r="AE37" s="2" t="s">
        <v>38</v>
      </c>
      <c r="AF37" s="66">
        <v>17</v>
      </c>
      <c r="AG37" s="66">
        <v>4.5199999999999996</v>
      </c>
      <c r="AH37" s="66">
        <f>AF37/AG37</f>
        <v>3.7610619469026552</v>
      </c>
    </row>
    <row r="38" spans="1:34" x14ac:dyDescent="0.4">
      <c r="A38" s="3"/>
      <c r="C38" s="2">
        <v>-15</v>
      </c>
      <c r="D38" s="2"/>
      <c r="E38" s="24"/>
      <c r="F38" s="7"/>
      <c r="G38" s="66">
        <v>10.5</v>
      </c>
      <c r="H38" s="66">
        <v>4.38</v>
      </c>
      <c r="I38" s="7"/>
      <c r="J38" s="24"/>
      <c r="K38" s="66">
        <f t="shared" si="10"/>
        <v>2.397260273972603</v>
      </c>
      <c r="L38" s="36"/>
      <c r="M38" s="6">
        <v>75</v>
      </c>
      <c r="N38" s="34"/>
      <c r="O38" s="2">
        <v>-15</v>
      </c>
      <c r="P38" s="34"/>
      <c r="Q38" s="24"/>
      <c r="R38" s="24"/>
      <c r="S38" s="66">
        <v>9.3000000000000007</v>
      </c>
      <c r="T38" s="66">
        <v>5.57</v>
      </c>
      <c r="U38" s="24"/>
      <c r="V38" s="24"/>
      <c r="W38" s="66">
        <f t="shared" si="11"/>
        <v>1.6696588868940754</v>
      </c>
      <c r="X38" s="34"/>
      <c r="Y38" s="36"/>
      <c r="Z38" s="24"/>
      <c r="AA38" s="24"/>
      <c r="AB38" s="24"/>
      <c r="AC38" s="24"/>
      <c r="AD38" s="34"/>
      <c r="AE38" s="2" t="s">
        <v>40</v>
      </c>
      <c r="AF38" s="66">
        <v>15.5</v>
      </c>
      <c r="AG38" s="66">
        <v>3.27</v>
      </c>
      <c r="AH38" s="66">
        <f>AF38/AG38</f>
        <v>4.7400611620795106</v>
      </c>
    </row>
    <row r="39" spans="1:34" x14ac:dyDescent="0.4">
      <c r="A39" s="3"/>
      <c r="C39" s="2">
        <v>-10</v>
      </c>
      <c r="D39" s="2"/>
      <c r="E39" s="24"/>
      <c r="F39" s="7"/>
      <c r="G39" s="43"/>
      <c r="H39" s="43"/>
      <c r="I39" s="7"/>
      <c r="J39" s="24"/>
      <c r="K39" s="66"/>
      <c r="L39" s="36"/>
      <c r="M39" s="6">
        <v>75</v>
      </c>
      <c r="N39" s="34"/>
      <c r="O39" s="2">
        <v>-10</v>
      </c>
      <c r="P39" s="34"/>
      <c r="Q39" s="24"/>
      <c r="R39" s="24"/>
      <c r="S39" s="43"/>
      <c r="T39" s="43"/>
      <c r="U39" s="24"/>
      <c r="V39" s="24"/>
      <c r="W39" s="66"/>
      <c r="X39" s="34"/>
      <c r="Y39" s="17" t="s">
        <v>39</v>
      </c>
      <c r="Z39" s="66">
        <v>11.2</v>
      </c>
      <c r="AA39" s="66">
        <v>2.83</v>
      </c>
      <c r="AB39" s="66">
        <v>10</v>
      </c>
      <c r="AC39" s="66">
        <v>1.92</v>
      </c>
      <c r="AD39" s="34"/>
      <c r="AF39" s="33"/>
      <c r="AG39" s="33"/>
      <c r="AH39" s="33"/>
    </row>
    <row r="40" spans="1:34" x14ac:dyDescent="0.4">
      <c r="A40" s="3"/>
      <c r="C40" s="2">
        <v>-7</v>
      </c>
      <c r="D40" s="2"/>
      <c r="E40" s="24"/>
      <c r="F40" s="7"/>
      <c r="G40" s="66">
        <v>11.7</v>
      </c>
      <c r="H40" s="66">
        <v>4.45</v>
      </c>
      <c r="I40" s="7"/>
      <c r="J40" s="24"/>
      <c r="K40" s="66">
        <f t="shared" ref="K40:K42" si="12">G40/H40</f>
        <v>2.6292134831460672</v>
      </c>
      <c r="L40" s="36"/>
      <c r="M40" s="6">
        <v>75</v>
      </c>
      <c r="N40" s="34"/>
      <c r="O40" s="2">
        <v>-7</v>
      </c>
      <c r="P40" s="34"/>
      <c r="Q40" s="24"/>
      <c r="R40" s="24"/>
      <c r="S40" s="66">
        <v>10.8</v>
      </c>
      <c r="T40" s="66">
        <v>5.68</v>
      </c>
      <c r="U40" s="24"/>
      <c r="V40" s="24"/>
      <c r="W40" s="66">
        <f t="shared" ref="W40:W42" si="13">S40/T40</f>
        <v>1.9014084507042255</v>
      </c>
      <c r="X40" s="34"/>
      <c r="Y40" s="5">
        <f>AA40*(1.029-(0.05*Z40/G42))</f>
        <v>2.7896274999999999</v>
      </c>
      <c r="Z40" s="66">
        <v>11.6</v>
      </c>
      <c r="AA40" s="66">
        <v>2.81</v>
      </c>
      <c r="AB40" s="66">
        <v>10.8</v>
      </c>
      <c r="AC40" s="66">
        <v>2.04</v>
      </c>
      <c r="AD40" s="34"/>
      <c r="AE40" s="2"/>
      <c r="AF40" s="34"/>
      <c r="AG40" s="34"/>
      <c r="AH40" s="33"/>
    </row>
    <row r="41" spans="1:34" x14ac:dyDescent="0.4">
      <c r="A41" s="3"/>
      <c r="C41" s="2">
        <v>2</v>
      </c>
      <c r="D41" s="2"/>
      <c r="E41" s="24"/>
      <c r="F41" s="7"/>
      <c r="G41" s="66">
        <v>13</v>
      </c>
      <c r="H41" s="66">
        <v>3.94</v>
      </c>
      <c r="I41" s="7"/>
      <c r="J41" s="24"/>
      <c r="K41" s="66">
        <f t="shared" si="12"/>
        <v>3.2994923857868019</v>
      </c>
      <c r="L41" s="36"/>
      <c r="M41" s="6">
        <v>75</v>
      </c>
      <c r="N41" s="34"/>
      <c r="O41" s="2">
        <v>2</v>
      </c>
      <c r="P41" s="34"/>
      <c r="Q41" s="24"/>
      <c r="R41" s="24"/>
      <c r="S41" s="66">
        <v>12</v>
      </c>
      <c r="T41" s="66">
        <v>5.29</v>
      </c>
      <c r="U41" s="24"/>
      <c r="V41" s="24"/>
      <c r="W41" s="66">
        <f t="shared" si="13"/>
        <v>2.2684310018903591</v>
      </c>
      <c r="X41" s="34"/>
      <c r="Y41" s="5">
        <f>AA41*(0.906-(0.044*Z41/G42))</f>
        <v>3.9222112499999997</v>
      </c>
      <c r="Z41" s="66">
        <v>7.5</v>
      </c>
      <c r="AA41" s="66">
        <v>4.43</v>
      </c>
      <c r="AB41" s="66">
        <v>7</v>
      </c>
      <c r="AC41" s="66">
        <v>3.64</v>
      </c>
      <c r="AD41" s="34"/>
      <c r="AE41" s="2"/>
      <c r="AF41" s="34"/>
      <c r="AG41" s="34"/>
      <c r="AH41" s="33"/>
    </row>
    <row r="42" spans="1:34" x14ac:dyDescent="0.4">
      <c r="A42" s="3"/>
      <c r="C42" s="2">
        <v>7</v>
      </c>
      <c r="D42" s="2"/>
      <c r="E42" s="24"/>
      <c r="F42" s="7"/>
      <c r="G42" s="66">
        <v>16</v>
      </c>
      <c r="H42" s="66">
        <v>3.44</v>
      </c>
      <c r="I42" s="7"/>
      <c r="J42" s="24"/>
      <c r="K42" s="66">
        <f t="shared" si="12"/>
        <v>4.6511627906976747</v>
      </c>
      <c r="L42" s="36"/>
      <c r="M42" s="6">
        <v>75</v>
      </c>
      <c r="N42" s="34"/>
      <c r="O42" s="2">
        <v>7</v>
      </c>
      <c r="P42" s="34"/>
      <c r="Q42" s="24"/>
      <c r="R42" s="24"/>
      <c r="S42" s="66">
        <v>14.7</v>
      </c>
      <c r="T42" s="66">
        <v>4.9000000000000004</v>
      </c>
      <c r="U42" s="24"/>
      <c r="V42" s="24"/>
      <c r="W42" s="66">
        <f t="shared" si="13"/>
        <v>2.9999999999999996</v>
      </c>
      <c r="X42" s="34"/>
      <c r="Y42" s="5">
        <f>K42</f>
        <v>4.6511627906976747</v>
      </c>
      <c r="Z42" s="66">
        <v>4.9000000000000004</v>
      </c>
      <c r="AA42" s="66">
        <v>6.35</v>
      </c>
      <c r="AB42" s="66">
        <v>4.7</v>
      </c>
      <c r="AC42" s="66">
        <v>4.76</v>
      </c>
      <c r="AD42" s="34"/>
      <c r="AE42" s="2"/>
      <c r="AF42" s="34"/>
      <c r="AG42" s="34"/>
      <c r="AH42" s="33"/>
    </row>
    <row r="43" spans="1:34" x14ac:dyDescent="0.4">
      <c r="A43" s="3"/>
      <c r="C43" s="2">
        <v>12</v>
      </c>
      <c r="D43" s="2"/>
      <c r="E43" s="24"/>
      <c r="F43" s="24"/>
      <c r="G43" s="26" t="s">
        <v>61</v>
      </c>
      <c r="H43" s="26" t="s">
        <v>61</v>
      </c>
      <c r="I43" s="24"/>
      <c r="J43" s="24"/>
      <c r="K43" s="26" t="s">
        <v>61</v>
      </c>
      <c r="L43" s="36"/>
      <c r="M43" s="6">
        <v>75</v>
      </c>
      <c r="N43" s="34"/>
      <c r="O43" s="2">
        <v>12</v>
      </c>
      <c r="P43" s="34"/>
      <c r="Q43" s="24"/>
      <c r="R43" s="24"/>
      <c r="S43" s="26" t="s">
        <v>61</v>
      </c>
      <c r="T43" s="26" t="s">
        <v>61</v>
      </c>
      <c r="U43" s="24"/>
      <c r="V43" s="24"/>
      <c r="W43" s="26" t="s">
        <v>61</v>
      </c>
      <c r="X43" s="34"/>
      <c r="Y43" s="17"/>
      <c r="Z43" s="66">
        <v>5.7</v>
      </c>
      <c r="AA43" s="66">
        <v>7.68</v>
      </c>
      <c r="AB43" s="66">
        <v>5.4</v>
      </c>
      <c r="AC43" s="66">
        <v>5.57</v>
      </c>
      <c r="AD43" s="34"/>
      <c r="AE43" s="2"/>
      <c r="AF43" s="34"/>
      <c r="AG43" s="34"/>
      <c r="AH43" s="33"/>
    </row>
    <row r="44" spans="1:34" x14ac:dyDescent="0.4">
      <c r="A44" s="8"/>
      <c r="B44" s="8"/>
      <c r="C44" s="9"/>
      <c r="D44" s="9"/>
      <c r="E44" s="18"/>
      <c r="F44" s="18"/>
      <c r="G44" s="22"/>
      <c r="H44" s="22"/>
      <c r="I44" s="22"/>
      <c r="J44" s="22"/>
      <c r="K44" s="22"/>
      <c r="L44" s="18"/>
      <c r="M44" s="18"/>
      <c r="N44" s="18"/>
      <c r="O44" s="18"/>
      <c r="P44" s="18"/>
      <c r="Q44" s="18"/>
      <c r="R44" s="22"/>
      <c r="S44" s="22"/>
      <c r="T44" s="22"/>
      <c r="U44" s="22"/>
      <c r="V44" s="22"/>
      <c r="W44" s="22"/>
      <c r="X44" s="18"/>
      <c r="Y44" s="22"/>
      <c r="Z44" s="22"/>
      <c r="AA44" s="22"/>
      <c r="AB44" s="22"/>
      <c r="AC44" s="22"/>
      <c r="AD44" s="18"/>
      <c r="AE44" s="18"/>
      <c r="AF44" s="18"/>
      <c r="AG44" s="18"/>
      <c r="AH44" s="18"/>
    </row>
    <row r="45" spans="1:34" x14ac:dyDescent="0.4">
      <c r="A45"/>
      <c r="AF45" s="15"/>
      <c r="AG45" s="15"/>
      <c r="AH45" s="15"/>
    </row>
    <row r="46" spans="1:34" x14ac:dyDescent="0.4">
      <c r="A46" s="47" t="s">
        <v>41</v>
      </c>
    </row>
    <row r="48" spans="1:34" x14ac:dyDescent="0.4">
      <c r="A48" s="1" t="s">
        <v>208</v>
      </c>
    </row>
    <row r="49" spans="1:37" s="1" customFormat="1" x14ac:dyDescent="0.4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37" x14ac:dyDescent="0.4">
      <c r="A50" s="1" t="s">
        <v>210</v>
      </c>
    </row>
    <row r="51" spans="1:37" s="1" customFormat="1" x14ac:dyDescent="0.4">
      <c r="A51" s="47" t="s">
        <v>212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1" customFormat="1" x14ac:dyDescent="0.4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4" spans="1:37" s="1" customFormat="1" x14ac:dyDescent="0.4">
      <c r="A54" s="1" t="s">
        <v>209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 s="1" customFormat="1" x14ac:dyDescent="0.4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 x14ac:dyDescent="0.4">
      <c r="A56" s="1" t="s">
        <v>211</v>
      </c>
    </row>
    <row r="57" spans="1:37" x14ac:dyDescent="0.4">
      <c r="A57" s="47" t="s">
        <v>212</v>
      </c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578C-F21D-4512-A1A9-B9C47FBF636E}">
  <sheetPr>
    <tabColor theme="5"/>
  </sheetPr>
  <dimension ref="A1:AK55"/>
  <sheetViews>
    <sheetView zoomScale="70" zoomScaleNormal="70" workbookViewId="0">
      <selection activeCell="AS48" sqref="AS48"/>
    </sheetView>
  </sheetViews>
  <sheetFormatPr baseColWidth="10" defaultColWidth="9.23046875" defaultRowHeight="14.6" x14ac:dyDescent="0.4"/>
  <cols>
    <col min="1" max="1" width="22" style="1" bestFit="1" customWidth="1"/>
    <col min="2" max="2" width="24.53515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/>
      <c r="B5" s="1" t="s">
        <v>161</v>
      </c>
      <c r="C5" s="4"/>
      <c r="D5" s="2"/>
      <c r="E5" s="61"/>
      <c r="F5" s="7"/>
      <c r="G5" s="7"/>
      <c r="H5" s="7"/>
      <c r="I5" s="7"/>
      <c r="J5" s="24"/>
      <c r="K5" s="24"/>
      <c r="L5" s="36"/>
      <c r="M5" s="27"/>
      <c r="N5" s="34"/>
      <c r="O5" s="64"/>
      <c r="P5" s="34"/>
      <c r="Q5" s="24"/>
      <c r="R5" s="24"/>
      <c r="S5" s="24"/>
      <c r="T5" s="24"/>
      <c r="U5" s="24"/>
      <c r="V5" s="24"/>
      <c r="W5" s="24"/>
      <c r="X5" s="67" t="s">
        <v>215</v>
      </c>
      <c r="Y5" s="36"/>
      <c r="Z5" s="24"/>
      <c r="AA5" s="24"/>
      <c r="AB5" s="24"/>
      <c r="AC5" s="24"/>
      <c r="AD5" s="34"/>
      <c r="AE5" s="2" t="s">
        <v>37</v>
      </c>
      <c r="AF5" s="66">
        <v>12</v>
      </c>
      <c r="AG5" s="66">
        <v>3.7</v>
      </c>
      <c r="AH5" s="66">
        <f>AF5/AG5</f>
        <v>3.243243243243243</v>
      </c>
    </row>
    <row r="6" spans="1:37" x14ac:dyDescent="0.4">
      <c r="A6" s="3"/>
      <c r="C6" s="13">
        <v>-25</v>
      </c>
      <c r="D6" s="2"/>
      <c r="E6" s="61"/>
      <c r="F6" s="7"/>
      <c r="G6" s="66">
        <v>7.2</v>
      </c>
      <c r="H6" s="66">
        <v>3.85</v>
      </c>
      <c r="I6" s="7"/>
      <c r="J6" s="24"/>
      <c r="K6" s="66">
        <f>G6/H6</f>
        <v>1.8701298701298701</v>
      </c>
      <c r="L6" s="36"/>
      <c r="M6" s="6">
        <v>55</v>
      </c>
      <c r="N6" s="34"/>
      <c r="O6" s="2">
        <v>-25</v>
      </c>
      <c r="P6" s="34"/>
      <c r="Q6" s="24"/>
      <c r="R6" s="7"/>
      <c r="S6" s="66">
        <v>7.1</v>
      </c>
      <c r="T6" s="66">
        <v>5.68</v>
      </c>
      <c r="U6" s="24"/>
      <c r="V6" s="24"/>
      <c r="W6" s="66">
        <f>S6/T6</f>
        <v>1.25</v>
      </c>
      <c r="X6" s="34"/>
      <c r="Y6" s="36"/>
      <c r="Z6" s="24"/>
      <c r="AA6" s="24"/>
      <c r="AB6" s="24"/>
      <c r="AC6" s="24"/>
      <c r="AD6" s="34"/>
      <c r="AE6" s="2"/>
      <c r="AF6" s="7"/>
      <c r="AG6" s="7"/>
      <c r="AH6" s="7"/>
      <c r="AK6" s="33"/>
    </row>
    <row r="7" spans="1:37" x14ac:dyDescent="0.4">
      <c r="A7" s="46"/>
      <c r="C7" s="13">
        <v>-20</v>
      </c>
      <c r="D7" s="2"/>
      <c r="E7" s="61"/>
      <c r="F7" s="7"/>
      <c r="G7" s="66">
        <v>8.1</v>
      </c>
      <c r="H7" s="66">
        <v>3.85</v>
      </c>
      <c r="I7" s="7"/>
      <c r="J7" s="24"/>
      <c r="K7" s="66">
        <f t="shared" ref="K7:K8" si="0">G7/H7</f>
        <v>2.1038961038961039</v>
      </c>
      <c r="L7" s="36"/>
      <c r="M7" s="6">
        <v>65</v>
      </c>
      <c r="N7" s="34"/>
      <c r="O7" s="2">
        <v>-20</v>
      </c>
      <c r="P7" s="34"/>
      <c r="Q7" s="24"/>
      <c r="R7" s="7"/>
      <c r="S7" s="66">
        <v>7.8</v>
      </c>
      <c r="T7" s="66">
        <v>5.21</v>
      </c>
      <c r="U7" s="24"/>
      <c r="V7" s="24"/>
      <c r="W7" s="66">
        <f t="shared" ref="W7:W8" si="1">S7/T7</f>
        <v>1.4971209213051824</v>
      </c>
      <c r="X7" s="34"/>
      <c r="Y7" s="36"/>
      <c r="Z7" s="24"/>
      <c r="AA7" s="24"/>
      <c r="AB7" s="24"/>
      <c r="AC7" s="24"/>
      <c r="AD7" s="34"/>
      <c r="AE7" s="2" t="s">
        <v>38</v>
      </c>
      <c r="AF7" s="66">
        <v>15</v>
      </c>
      <c r="AG7" s="66">
        <v>3.9</v>
      </c>
      <c r="AH7" s="66">
        <f>AF7/AG7</f>
        <v>3.8461538461538463</v>
      </c>
    </row>
    <row r="8" spans="1:37" x14ac:dyDescent="0.4">
      <c r="A8" s="3"/>
      <c r="C8" s="2">
        <v>-15</v>
      </c>
      <c r="D8" s="2"/>
      <c r="E8" s="61"/>
      <c r="F8" s="7"/>
      <c r="G8" s="66">
        <v>9.4</v>
      </c>
      <c r="H8" s="66">
        <v>3.78</v>
      </c>
      <c r="I8" s="7"/>
      <c r="J8" s="24"/>
      <c r="K8" s="66">
        <f t="shared" si="0"/>
        <v>2.486772486772487</v>
      </c>
      <c r="L8" s="36"/>
      <c r="M8" s="6">
        <v>75</v>
      </c>
      <c r="N8" s="34"/>
      <c r="O8" s="2">
        <v>-15</v>
      </c>
      <c r="P8" s="34"/>
      <c r="Q8" s="24"/>
      <c r="R8" s="7"/>
      <c r="S8" s="66">
        <v>8.8000000000000007</v>
      </c>
      <c r="T8" s="66">
        <v>5.2</v>
      </c>
      <c r="U8" s="24"/>
      <c r="V8" s="24"/>
      <c r="W8" s="66">
        <f t="shared" si="1"/>
        <v>1.6923076923076923</v>
      </c>
      <c r="X8" s="34"/>
      <c r="Y8" s="36"/>
      <c r="Z8" s="24"/>
      <c r="AA8" s="24"/>
      <c r="AB8" s="24"/>
      <c r="AC8" s="24"/>
      <c r="AD8" s="34"/>
      <c r="AE8" s="2" t="s">
        <v>40</v>
      </c>
      <c r="AF8" s="66">
        <v>12</v>
      </c>
      <c r="AG8" s="66">
        <v>2.4</v>
      </c>
      <c r="AH8" s="66">
        <f>AF8/AG8</f>
        <v>5</v>
      </c>
    </row>
    <row r="9" spans="1:37" x14ac:dyDescent="0.4">
      <c r="A9" s="3"/>
      <c r="C9" s="2">
        <v>-10</v>
      </c>
      <c r="D9" s="2"/>
      <c r="E9" s="61"/>
      <c r="F9" s="7"/>
      <c r="G9" s="43"/>
      <c r="H9" s="43"/>
      <c r="I9" s="7"/>
      <c r="J9" s="24"/>
      <c r="K9" s="29" t="s">
        <v>61</v>
      </c>
      <c r="L9" s="36"/>
      <c r="M9" s="6">
        <v>75</v>
      </c>
      <c r="N9" s="34"/>
      <c r="O9" s="2">
        <v>-10</v>
      </c>
      <c r="P9" s="34"/>
      <c r="Q9" s="24"/>
      <c r="R9" s="7"/>
      <c r="S9" s="43"/>
      <c r="T9" s="43"/>
      <c r="U9" s="24"/>
      <c r="V9" s="24"/>
      <c r="W9" s="29" t="s">
        <v>61</v>
      </c>
      <c r="X9" s="34"/>
      <c r="Y9" s="36" t="s">
        <v>39</v>
      </c>
      <c r="Z9" s="66">
        <v>10</v>
      </c>
      <c r="AA9" s="66">
        <v>2.76</v>
      </c>
      <c r="AB9" s="66">
        <v>9.8000000000000007</v>
      </c>
      <c r="AC9" s="66">
        <v>1.83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7"/>
      <c r="G10" s="66">
        <v>10.5</v>
      </c>
      <c r="H10" s="66">
        <v>3.5</v>
      </c>
      <c r="I10" s="7"/>
      <c r="J10" s="24"/>
      <c r="K10" s="66">
        <f>G10/H10</f>
        <v>3</v>
      </c>
      <c r="L10" s="36"/>
      <c r="M10" s="6">
        <v>75</v>
      </c>
      <c r="N10" s="34"/>
      <c r="O10" s="2">
        <v>-7</v>
      </c>
      <c r="P10" s="34"/>
      <c r="Q10" s="24"/>
      <c r="R10" s="7"/>
      <c r="S10" s="66">
        <v>10</v>
      </c>
      <c r="T10" s="66">
        <v>5.08</v>
      </c>
      <c r="U10" s="24"/>
      <c r="V10" s="24"/>
      <c r="W10" s="66">
        <f>S10/T10</f>
        <v>1.9685039370078741</v>
      </c>
      <c r="X10" s="34"/>
      <c r="Y10" s="5">
        <f>AA10*(1.029-(0.05*Z10/G12))</f>
        <v>2.9001124324324321</v>
      </c>
      <c r="Z10" s="66">
        <v>10.6</v>
      </c>
      <c r="AA10" s="66">
        <v>2.92</v>
      </c>
      <c r="AB10" s="66">
        <v>10</v>
      </c>
      <c r="AC10" s="66">
        <v>2.04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7"/>
      <c r="G11" s="66">
        <v>12.5</v>
      </c>
      <c r="H11" s="66">
        <v>3.71</v>
      </c>
      <c r="I11" s="7"/>
      <c r="J11" s="24"/>
      <c r="K11" s="66">
        <f t="shared" ref="K11:K12" si="2">G11/H11</f>
        <v>3.3692722371967654</v>
      </c>
      <c r="L11" s="36"/>
      <c r="M11" s="6">
        <v>75</v>
      </c>
      <c r="N11" s="34"/>
      <c r="O11" s="2">
        <v>2</v>
      </c>
      <c r="P11" s="34"/>
      <c r="Q11" s="24"/>
      <c r="R11" s="7"/>
      <c r="S11" s="66">
        <v>12</v>
      </c>
      <c r="T11" s="66">
        <v>5.29</v>
      </c>
      <c r="U11" s="24"/>
      <c r="V11" s="24"/>
      <c r="W11" s="66">
        <f t="shared" ref="W11:W12" si="3">S11/T11</f>
        <v>2.2684310018903591</v>
      </c>
      <c r="X11" s="34"/>
      <c r="Y11" s="5">
        <f>AA11*(0.906-(0.044*Z11/G12))</f>
        <v>4.0698413513513518</v>
      </c>
      <c r="Z11" s="66">
        <v>6.5</v>
      </c>
      <c r="AA11" s="66">
        <v>4.59</v>
      </c>
      <c r="AB11" s="66">
        <v>6.5</v>
      </c>
      <c r="AC11" s="66">
        <v>3.56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7"/>
      <c r="G12" s="66">
        <v>14.8</v>
      </c>
      <c r="H12" s="66">
        <v>3.14</v>
      </c>
      <c r="I12" s="7"/>
      <c r="J12" s="24"/>
      <c r="K12" s="66">
        <f t="shared" si="2"/>
        <v>4.7133757961783438</v>
      </c>
      <c r="L12" s="36"/>
      <c r="M12" s="6">
        <v>75</v>
      </c>
      <c r="N12" s="34"/>
      <c r="O12" s="2">
        <v>7</v>
      </c>
      <c r="P12" s="34"/>
      <c r="Q12" s="24"/>
      <c r="R12" s="7"/>
      <c r="S12" s="66">
        <v>14.1</v>
      </c>
      <c r="T12" s="66">
        <v>4.67</v>
      </c>
      <c r="U12" s="24"/>
      <c r="V12" s="24"/>
      <c r="W12" s="66">
        <f t="shared" si="3"/>
        <v>3.0192719486081372</v>
      </c>
      <c r="X12" s="34"/>
      <c r="Y12" s="5">
        <f>K12</f>
        <v>4.7133757961783438</v>
      </c>
      <c r="Z12" s="66">
        <v>4.8</v>
      </c>
      <c r="AA12" s="66">
        <v>5.98</v>
      </c>
      <c r="AB12" s="66">
        <v>4.7</v>
      </c>
      <c r="AC12" s="66">
        <v>4.5999999999999996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24"/>
      <c r="G13" s="26" t="s">
        <v>61</v>
      </c>
      <c r="H13" s="26" t="s">
        <v>61</v>
      </c>
      <c r="I13" s="24"/>
      <c r="J13" s="24"/>
      <c r="K13" s="26" t="s">
        <v>61</v>
      </c>
      <c r="L13" s="36"/>
      <c r="M13" s="6">
        <v>75</v>
      </c>
      <c r="N13" s="34"/>
      <c r="O13" s="2">
        <v>12</v>
      </c>
      <c r="P13" s="34"/>
      <c r="Q13" s="24"/>
      <c r="R13" s="24"/>
      <c r="S13" s="26" t="s">
        <v>61</v>
      </c>
      <c r="T13" s="26" t="s">
        <v>61</v>
      </c>
      <c r="U13" s="24"/>
      <c r="V13" s="24"/>
      <c r="W13" s="26" t="s">
        <v>61</v>
      </c>
      <c r="X13" s="34"/>
      <c r="Y13" s="36"/>
      <c r="Z13" s="66">
        <v>5.5</v>
      </c>
      <c r="AA13" s="66">
        <v>7.54</v>
      </c>
      <c r="AB13" s="66">
        <v>5.2</v>
      </c>
      <c r="AC13" s="66">
        <v>5.52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30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/>
      <c r="B15" s="1" t="s">
        <v>168</v>
      </c>
      <c r="C15" s="4"/>
      <c r="D15" s="2"/>
      <c r="E15" s="61"/>
      <c r="F15" s="24"/>
      <c r="G15" s="24"/>
      <c r="H15" s="24"/>
      <c r="I15" s="24"/>
      <c r="J15" s="24"/>
      <c r="K15" s="24"/>
      <c r="L15" s="36"/>
      <c r="M15" s="27"/>
      <c r="N15" s="34"/>
      <c r="O15" s="64"/>
      <c r="P15" s="34"/>
      <c r="Q15" s="24"/>
      <c r="R15" s="24"/>
      <c r="S15" s="24"/>
      <c r="T15" s="24"/>
      <c r="U15" s="24"/>
      <c r="V15" s="24"/>
      <c r="W15" s="24"/>
      <c r="X15" s="67" t="s">
        <v>215</v>
      </c>
      <c r="Y15" s="36"/>
      <c r="Z15" s="24"/>
      <c r="AA15" s="24"/>
      <c r="AB15" s="24"/>
      <c r="AC15" s="24"/>
      <c r="AD15" s="34"/>
      <c r="AE15" s="2" t="s">
        <v>37</v>
      </c>
      <c r="AF15" s="66">
        <v>12</v>
      </c>
      <c r="AG15" s="66">
        <v>3.7</v>
      </c>
      <c r="AH15" s="66">
        <f>AF15/AG15</f>
        <v>3.243243243243243</v>
      </c>
    </row>
    <row r="16" spans="1:37" x14ac:dyDescent="0.4">
      <c r="A16" s="3"/>
      <c r="C16" s="13">
        <v>-25</v>
      </c>
      <c r="D16" s="2"/>
      <c r="E16" s="61"/>
      <c r="F16" s="7"/>
      <c r="G16" s="66">
        <v>7.2</v>
      </c>
      <c r="H16" s="66">
        <v>3.85</v>
      </c>
      <c r="I16" s="24"/>
      <c r="J16" s="24"/>
      <c r="K16" s="66">
        <f>G16/H16</f>
        <v>1.8701298701298701</v>
      </c>
      <c r="L16" s="36"/>
      <c r="M16" s="6">
        <v>55</v>
      </c>
      <c r="N16" s="34"/>
      <c r="O16" s="2">
        <v>-25</v>
      </c>
      <c r="P16" s="34"/>
      <c r="Q16" s="24"/>
      <c r="R16" s="24"/>
      <c r="S16" s="66">
        <v>7.1</v>
      </c>
      <c r="T16" s="66">
        <v>5.68</v>
      </c>
      <c r="U16" s="24"/>
      <c r="V16" s="24"/>
      <c r="W16" s="66">
        <f>S16/T16</f>
        <v>1.25</v>
      </c>
      <c r="X16" s="34"/>
      <c r="Y16" s="36"/>
      <c r="Z16" s="24"/>
      <c r="AA16" s="24"/>
      <c r="AB16" s="24"/>
      <c r="AC16" s="24"/>
      <c r="AD16" s="34"/>
      <c r="AE16" s="2"/>
      <c r="AF16" s="7"/>
      <c r="AG16" s="7"/>
      <c r="AH16" s="7"/>
    </row>
    <row r="17" spans="1:34" x14ac:dyDescent="0.4">
      <c r="A17" s="46"/>
      <c r="C17" s="13">
        <v>-20</v>
      </c>
      <c r="D17" s="2"/>
      <c r="E17" s="61"/>
      <c r="F17" s="7"/>
      <c r="G17" s="66">
        <v>8.1</v>
      </c>
      <c r="H17" s="66">
        <v>3.85</v>
      </c>
      <c r="I17" s="24"/>
      <c r="J17" s="24"/>
      <c r="K17" s="66">
        <f t="shared" ref="K17:K18" si="4">G17/H17</f>
        <v>2.1038961038961039</v>
      </c>
      <c r="L17" s="36"/>
      <c r="M17" s="6">
        <v>65</v>
      </c>
      <c r="N17" s="34"/>
      <c r="O17" s="2">
        <v>-20</v>
      </c>
      <c r="P17" s="34"/>
      <c r="Q17" s="24"/>
      <c r="R17" s="24"/>
      <c r="S17" s="66">
        <v>7.8</v>
      </c>
      <c r="T17" s="66">
        <v>5.21</v>
      </c>
      <c r="U17" s="24"/>
      <c r="V17" s="24"/>
      <c r="W17" s="66">
        <f t="shared" ref="W17:W18" si="5">S17/T17</f>
        <v>1.4971209213051824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6">
        <v>15</v>
      </c>
      <c r="AG17" s="66">
        <v>3.9</v>
      </c>
      <c r="AH17" s="66">
        <f>AF17/AG17</f>
        <v>3.8461538461538463</v>
      </c>
    </row>
    <row r="18" spans="1:34" x14ac:dyDescent="0.4">
      <c r="A18" s="3"/>
      <c r="C18" s="2">
        <v>-15</v>
      </c>
      <c r="D18" s="2"/>
      <c r="E18" s="61"/>
      <c r="F18" s="7"/>
      <c r="G18" s="66">
        <v>9.4</v>
      </c>
      <c r="H18" s="66">
        <v>3.78</v>
      </c>
      <c r="I18" s="24"/>
      <c r="J18" s="24"/>
      <c r="K18" s="66">
        <f t="shared" si="4"/>
        <v>2.486772486772487</v>
      </c>
      <c r="L18" s="36"/>
      <c r="M18" s="6">
        <v>75</v>
      </c>
      <c r="N18" s="34"/>
      <c r="O18" s="2">
        <v>-15</v>
      </c>
      <c r="P18" s="34"/>
      <c r="Q18" s="24"/>
      <c r="R18" s="24"/>
      <c r="S18" s="66">
        <v>8.8000000000000007</v>
      </c>
      <c r="T18" s="66">
        <v>5.2</v>
      </c>
      <c r="U18" s="24"/>
      <c r="V18" s="24"/>
      <c r="W18" s="66">
        <f t="shared" si="5"/>
        <v>1.6923076923076923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6">
        <v>12</v>
      </c>
      <c r="AG18" s="66">
        <v>2.4</v>
      </c>
      <c r="AH18" s="66">
        <f>AF18/AG18</f>
        <v>5</v>
      </c>
    </row>
    <row r="19" spans="1:34" x14ac:dyDescent="0.4">
      <c r="A19" s="3"/>
      <c r="C19" s="2">
        <v>-10</v>
      </c>
      <c r="D19" s="2"/>
      <c r="E19" s="61"/>
      <c r="F19" s="7"/>
      <c r="G19" s="43"/>
      <c r="H19" s="43"/>
      <c r="I19" s="24"/>
      <c r="J19" s="24"/>
      <c r="K19" s="29" t="s">
        <v>61</v>
      </c>
      <c r="L19" s="36"/>
      <c r="M19" s="6">
        <v>75</v>
      </c>
      <c r="N19" s="34"/>
      <c r="O19" s="2">
        <v>-10</v>
      </c>
      <c r="P19" s="34"/>
      <c r="Q19" s="24"/>
      <c r="R19" s="24"/>
      <c r="S19" s="43"/>
      <c r="T19" s="43"/>
      <c r="U19" s="24"/>
      <c r="V19" s="24"/>
      <c r="W19" s="29" t="s">
        <v>61</v>
      </c>
      <c r="X19" s="34"/>
      <c r="Y19" s="36" t="s">
        <v>39</v>
      </c>
      <c r="Z19" s="66">
        <v>10</v>
      </c>
      <c r="AA19" s="66">
        <v>2.76</v>
      </c>
      <c r="AB19" s="66">
        <v>9.8000000000000007</v>
      </c>
      <c r="AC19" s="66">
        <v>1.83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61"/>
      <c r="F20" s="7"/>
      <c r="G20" s="66">
        <v>10.5</v>
      </c>
      <c r="H20" s="66">
        <v>3.5</v>
      </c>
      <c r="I20" s="24"/>
      <c r="J20" s="24"/>
      <c r="K20" s="66">
        <f>G20/H20</f>
        <v>3</v>
      </c>
      <c r="L20" s="36"/>
      <c r="M20" s="6">
        <v>75</v>
      </c>
      <c r="N20" s="34"/>
      <c r="O20" s="2">
        <v>-7</v>
      </c>
      <c r="P20" s="34"/>
      <c r="Q20" s="24"/>
      <c r="R20" s="24"/>
      <c r="S20" s="66">
        <v>10</v>
      </c>
      <c r="T20" s="66">
        <v>5.08</v>
      </c>
      <c r="U20" s="24"/>
      <c r="V20" s="24"/>
      <c r="W20" s="66">
        <f>S20/T20</f>
        <v>1.9685039370078741</v>
      </c>
      <c r="X20" s="34"/>
      <c r="Y20" s="5">
        <f>AA20*(1.029-(0.05*Z20/G22))</f>
        <v>2.9001124324324321</v>
      </c>
      <c r="Z20" s="66">
        <v>10.6</v>
      </c>
      <c r="AA20" s="66">
        <v>2.92</v>
      </c>
      <c r="AB20" s="66">
        <v>10</v>
      </c>
      <c r="AC20" s="66">
        <v>2.04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61"/>
      <c r="F21" s="7"/>
      <c r="G21" s="66">
        <v>12.5</v>
      </c>
      <c r="H21" s="66">
        <v>3.71</v>
      </c>
      <c r="I21" s="24"/>
      <c r="J21" s="24"/>
      <c r="K21" s="66">
        <f t="shared" ref="K21:K22" si="6">G21/H21</f>
        <v>3.3692722371967654</v>
      </c>
      <c r="L21" s="36"/>
      <c r="M21" s="6">
        <v>75</v>
      </c>
      <c r="N21" s="34"/>
      <c r="O21" s="2">
        <v>2</v>
      </c>
      <c r="P21" s="34"/>
      <c r="Q21" s="24"/>
      <c r="R21" s="24"/>
      <c r="S21" s="66">
        <v>12</v>
      </c>
      <c r="T21" s="66">
        <v>5.29</v>
      </c>
      <c r="U21" s="24"/>
      <c r="V21" s="24"/>
      <c r="W21" s="66">
        <f t="shared" ref="W21:W22" si="7">S21/T21</f>
        <v>2.2684310018903591</v>
      </c>
      <c r="X21" s="34"/>
      <c r="Y21" s="5">
        <f>AA21*(0.906-(0.044*Z21/G22))</f>
        <v>4.0698413513513518</v>
      </c>
      <c r="Z21" s="66">
        <v>6.5</v>
      </c>
      <c r="AA21" s="66">
        <v>4.59</v>
      </c>
      <c r="AB21" s="66">
        <v>6.5</v>
      </c>
      <c r="AC21" s="66">
        <v>3.56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61"/>
      <c r="F22" s="7"/>
      <c r="G22" s="66">
        <v>14.8</v>
      </c>
      <c r="H22" s="66">
        <v>3.14</v>
      </c>
      <c r="I22" s="24"/>
      <c r="J22" s="24"/>
      <c r="K22" s="66">
        <f t="shared" si="6"/>
        <v>4.7133757961783438</v>
      </c>
      <c r="L22" s="36"/>
      <c r="M22" s="6">
        <v>75</v>
      </c>
      <c r="N22" s="34"/>
      <c r="O22" s="2">
        <v>7</v>
      </c>
      <c r="P22" s="34"/>
      <c r="Q22" s="24"/>
      <c r="R22" s="24"/>
      <c r="S22" s="66">
        <v>14.1</v>
      </c>
      <c r="T22" s="66">
        <v>4.67</v>
      </c>
      <c r="U22" s="24"/>
      <c r="V22" s="24"/>
      <c r="W22" s="66">
        <f t="shared" si="7"/>
        <v>3.0192719486081372</v>
      </c>
      <c r="X22" s="34"/>
      <c r="Y22" s="5">
        <f>K22</f>
        <v>4.7133757961783438</v>
      </c>
      <c r="Z22" s="66">
        <v>4.8</v>
      </c>
      <c r="AA22" s="66">
        <v>5.98</v>
      </c>
      <c r="AB22" s="66">
        <v>4.7</v>
      </c>
      <c r="AC22" s="66">
        <v>4.5999999999999996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61"/>
      <c r="F23" s="24"/>
      <c r="G23" s="26" t="s">
        <v>61</v>
      </c>
      <c r="H23" s="26" t="s">
        <v>61</v>
      </c>
      <c r="I23" s="24"/>
      <c r="J23" s="24"/>
      <c r="K23" s="26" t="s">
        <v>61</v>
      </c>
      <c r="L23" s="36"/>
      <c r="M23" s="6">
        <v>75</v>
      </c>
      <c r="N23" s="34"/>
      <c r="O23" s="2">
        <v>12</v>
      </c>
      <c r="P23" s="34"/>
      <c r="Q23" s="24"/>
      <c r="R23" s="24"/>
      <c r="S23" s="68" t="s">
        <v>61</v>
      </c>
      <c r="T23" s="68" t="s">
        <v>61</v>
      </c>
      <c r="U23" s="24"/>
      <c r="V23" s="24"/>
      <c r="W23" s="26" t="s">
        <v>61</v>
      </c>
      <c r="X23" s="34"/>
      <c r="Y23" s="36"/>
      <c r="Z23" s="66">
        <v>5.5</v>
      </c>
      <c r="AA23" s="66">
        <v>7.54</v>
      </c>
      <c r="AB23" s="66">
        <v>5.2</v>
      </c>
      <c r="AC23" s="66">
        <v>5.52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30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/>
      <c r="B25" s="1" t="s">
        <v>162</v>
      </c>
      <c r="C25" s="4"/>
      <c r="D25" s="2"/>
      <c r="E25" s="24"/>
      <c r="F25" s="24"/>
      <c r="G25" s="24"/>
      <c r="H25" s="24"/>
      <c r="I25" s="24"/>
      <c r="J25" s="24"/>
      <c r="K25" s="24"/>
      <c r="L25" s="36"/>
      <c r="M25" s="27"/>
      <c r="N25" s="34"/>
      <c r="O25" s="64"/>
      <c r="P25" s="34"/>
      <c r="Q25" s="24"/>
      <c r="R25" s="24"/>
      <c r="S25" s="24"/>
      <c r="T25" s="24"/>
      <c r="U25" s="24"/>
      <c r="V25" s="24"/>
      <c r="W25" s="24"/>
      <c r="X25" s="67" t="s">
        <v>215</v>
      </c>
      <c r="Y25" s="36"/>
      <c r="Z25" s="24"/>
      <c r="AA25" s="24"/>
      <c r="AB25" s="24"/>
      <c r="AC25" s="24"/>
      <c r="AD25" s="34"/>
      <c r="AE25" s="2" t="s">
        <v>37</v>
      </c>
      <c r="AF25" s="66">
        <v>14</v>
      </c>
      <c r="AG25" s="66">
        <v>4.38</v>
      </c>
      <c r="AH25" s="66">
        <f>AF25/AG25</f>
        <v>3.1963470319634704</v>
      </c>
    </row>
    <row r="26" spans="1:34" x14ac:dyDescent="0.4">
      <c r="A26" s="3"/>
      <c r="C26" s="13">
        <v>-25</v>
      </c>
      <c r="D26" s="2"/>
      <c r="E26" s="24"/>
      <c r="F26" s="7"/>
      <c r="G26" s="66">
        <v>8.3000000000000007</v>
      </c>
      <c r="H26" s="66">
        <v>4.68</v>
      </c>
      <c r="I26" s="7"/>
      <c r="J26" s="24"/>
      <c r="K26" s="66">
        <f>G26/H26</f>
        <v>1.7735042735042739</v>
      </c>
      <c r="L26" s="36"/>
      <c r="M26" s="6">
        <v>55</v>
      </c>
      <c r="N26" s="34"/>
      <c r="O26" s="2">
        <v>-25</v>
      </c>
      <c r="P26" s="34"/>
      <c r="Q26" s="24"/>
      <c r="R26" s="24"/>
      <c r="S26" s="66">
        <v>7.15</v>
      </c>
      <c r="T26" s="66">
        <v>5.7</v>
      </c>
      <c r="U26" s="24"/>
      <c r="V26" s="24"/>
      <c r="W26" s="66">
        <f>S26/T26</f>
        <v>1.2543859649122808</v>
      </c>
      <c r="X26" s="34"/>
      <c r="Y26" s="36"/>
      <c r="Z26" s="24"/>
      <c r="AA26" s="24"/>
      <c r="AB26" s="24"/>
      <c r="AC26" s="24"/>
      <c r="AD26" s="34"/>
      <c r="AE26" s="2"/>
      <c r="AF26" s="7"/>
      <c r="AG26" s="7"/>
      <c r="AH26" s="7"/>
    </row>
    <row r="27" spans="1:34" x14ac:dyDescent="0.4">
      <c r="A27" s="46"/>
      <c r="C27" s="13">
        <v>-20</v>
      </c>
      <c r="D27" s="2"/>
      <c r="E27" s="24"/>
      <c r="F27" s="7"/>
      <c r="G27" s="66">
        <v>9</v>
      </c>
      <c r="H27" s="66">
        <v>4.3600000000000003</v>
      </c>
      <c r="I27" s="7"/>
      <c r="J27" s="24"/>
      <c r="K27" s="66">
        <f t="shared" ref="K27:K32" si="8">G27/H27</f>
        <v>2.0642201834862384</v>
      </c>
      <c r="L27" s="36"/>
      <c r="M27" s="6">
        <v>65</v>
      </c>
      <c r="N27" s="34"/>
      <c r="O27" s="2">
        <v>-20</v>
      </c>
      <c r="P27" s="34"/>
      <c r="Q27" s="24"/>
      <c r="R27" s="24"/>
      <c r="S27" s="66">
        <v>8.1999999999999993</v>
      </c>
      <c r="T27" s="66">
        <v>5.57</v>
      </c>
      <c r="U27" s="24"/>
      <c r="V27" s="24"/>
      <c r="W27" s="66">
        <f t="shared" ref="W27:W32" si="9">S27/T27</f>
        <v>1.4721723518850987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6">
        <v>17</v>
      </c>
      <c r="AG27" s="66">
        <v>4.5199999999999996</v>
      </c>
      <c r="AH27" s="66">
        <f>AF27/AG27</f>
        <v>3.7610619469026552</v>
      </c>
    </row>
    <row r="28" spans="1:34" x14ac:dyDescent="0.4">
      <c r="A28" s="3"/>
      <c r="C28" s="2">
        <v>-15</v>
      </c>
      <c r="D28" s="2"/>
      <c r="E28" s="24"/>
      <c r="F28" s="7"/>
      <c r="G28" s="66">
        <v>10.5</v>
      </c>
      <c r="H28" s="66">
        <v>4.38</v>
      </c>
      <c r="I28" s="7"/>
      <c r="J28" s="24"/>
      <c r="K28" s="66">
        <f t="shared" si="8"/>
        <v>2.397260273972603</v>
      </c>
      <c r="L28" s="36"/>
      <c r="M28" s="6">
        <v>75</v>
      </c>
      <c r="N28" s="34"/>
      <c r="O28" s="2">
        <v>-15</v>
      </c>
      <c r="P28" s="34"/>
      <c r="Q28" s="24"/>
      <c r="R28" s="24"/>
      <c r="S28" s="66">
        <v>9.3000000000000007</v>
      </c>
      <c r="T28" s="66">
        <v>5.57</v>
      </c>
      <c r="U28" s="24"/>
      <c r="V28" s="24"/>
      <c r="W28" s="66">
        <f t="shared" si="9"/>
        <v>1.6696588868940754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6">
        <v>15.5</v>
      </c>
      <c r="AG28" s="66">
        <v>3.27</v>
      </c>
      <c r="AH28" s="66">
        <f>AF28/AG28</f>
        <v>4.7400611620795106</v>
      </c>
    </row>
    <row r="29" spans="1:34" x14ac:dyDescent="0.4">
      <c r="A29" s="3"/>
      <c r="C29" s="2">
        <v>-10</v>
      </c>
      <c r="D29" s="2"/>
      <c r="E29" s="24"/>
      <c r="F29" s="7"/>
      <c r="G29" s="43"/>
      <c r="H29" s="43"/>
      <c r="I29" s="7"/>
      <c r="J29" s="24"/>
      <c r="K29" s="66"/>
      <c r="L29" s="36"/>
      <c r="M29" s="6">
        <v>75</v>
      </c>
      <c r="N29" s="34"/>
      <c r="O29" s="2">
        <v>-10</v>
      </c>
      <c r="P29" s="34"/>
      <c r="Q29" s="24"/>
      <c r="R29" s="24"/>
      <c r="S29" s="43"/>
      <c r="T29" s="43"/>
      <c r="U29" s="24"/>
      <c r="V29" s="24"/>
      <c r="W29" s="66"/>
      <c r="X29" s="34"/>
      <c r="Y29" s="17" t="s">
        <v>39</v>
      </c>
      <c r="Z29" s="66">
        <v>11.2</v>
      </c>
      <c r="AA29" s="66">
        <v>2.83</v>
      </c>
      <c r="AB29" s="66">
        <v>10</v>
      </c>
      <c r="AC29" s="66">
        <v>1.92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24"/>
      <c r="F30" s="7"/>
      <c r="G30" s="66">
        <v>11.7</v>
      </c>
      <c r="H30" s="66">
        <v>4.45</v>
      </c>
      <c r="I30" s="7"/>
      <c r="J30" s="24"/>
      <c r="K30" s="66">
        <f t="shared" si="8"/>
        <v>2.6292134831460672</v>
      </c>
      <c r="L30" s="36"/>
      <c r="M30" s="6">
        <v>75</v>
      </c>
      <c r="N30" s="34"/>
      <c r="O30" s="2">
        <v>-7</v>
      </c>
      <c r="P30" s="34"/>
      <c r="Q30" s="24"/>
      <c r="R30" s="24"/>
      <c r="S30" s="66">
        <v>10.8</v>
      </c>
      <c r="T30" s="66">
        <v>5.68</v>
      </c>
      <c r="U30" s="24"/>
      <c r="V30" s="24"/>
      <c r="W30" s="66">
        <f t="shared" si="9"/>
        <v>1.9014084507042255</v>
      </c>
      <c r="X30" s="34"/>
      <c r="Y30" s="5">
        <f>AA30*(1.029-(0.05*Z30/G32))</f>
        <v>2.7896274999999999</v>
      </c>
      <c r="Z30" s="66">
        <v>11.6</v>
      </c>
      <c r="AA30" s="66">
        <v>2.81</v>
      </c>
      <c r="AB30" s="66">
        <v>10.8</v>
      </c>
      <c r="AC30" s="66">
        <v>2.04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24"/>
      <c r="F31" s="7"/>
      <c r="G31" s="66">
        <v>13</v>
      </c>
      <c r="H31" s="66">
        <v>3.94</v>
      </c>
      <c r="I31" s="7"/>
      <c r="J31" s="24"/>
      <c r="K31" s="66">
        <f t="shared" si="8"/>
        <v>3.2994923857868019</v>
      </c>
      <c r="L31" s="36"/>
      <c r="M31" s="6">
        <v>75</v>
      </c>
      <c r="N31" s="34"/>
      <c r="O31" s="2">
        <v>2</v>
      </c>
      <c r="P31" s="34"/>
      <c r="Q31" s="24"/>
      <c r="R31" s="24"/>
      <c r="S31" s="66">
        <v>12</v>
      </c>
      <c r="T31" s="66">
        <v>5.29</v>
      </c>
      <c r="U31" s="24"/>
      <c r="V31" s="24"/>
      <c r="W31" s="66">
        <f t="shared" si="9"/>
        <v>2.2684310018903591</v>
      </c>
      <c r="X31" s="34"/>
      <c r="Y31" s="5">
        <f>AA31*(0.906-(0.044*Z31/G32))</f>
        <v>3.9222112499999997</v>
      </c>
      <c r="Z31" s="66">
        <v>7.5</v>
      </c>
      <c r="AA31" s="66">
        <v>4.43</v>
      </c>
      <c r="AB31" s="66">
        <v>7</v>
      </c>
      <c r="AC31" s="66">
        <v>3.64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24"/>
      <c r="F32" s="7"/>
      <c r="G32" s="66">
        <v>16</v>
      </c>
      <c r="H32" s="66">
        <v>3.44</v>
      </c>
      <c r="I32" s="7"/>
      <c r="J32" s="24"/>
      <c r="K32" s="66">
        <f t="shared" si="8"/>
        <v>4.6511627906976747</v>
      </c>
      <c r="L32" s="36"/>
      <c r="M32" s="6">
        <v>75</v>
      </c>
      <c r="N32" s="34"/>
      <c r="O32" s="2">
        <v>7</v>
      </c>
      <c r="P32" s="34"/>
      <c r="Q32" s="24"/>
      <c r="R32" s="24"/>
      <c r="S32" s="66">
        <v>14.7</v>
      </c>
      <c r="T32" s="66">
        <v>4.9000000000000004</v>
      </c>
      <c r="U32" s="24"/>
      <c r="V32" s="24"/>
      <c r="W32" s="66">
        <f t="shared" si="9"/>
        <v>2.9999999999999996</v>
      </c>
      <c r="X32" s="34"/>
      <c r="Y32" s="5">
        <f>K32</f>
        <v>4.6511627906976747</v>
      </c>
      <c r="Z32" s="66">
        <v>4.9000000000000004</v>
      </c>
      <c r="AA32" s="66">
        <v>6.35</v>
      </c>
      <c r="AB32" s="66">
        <v>4.7</v>
      </c>
      <c r="AC32" s="66">
        <v>4.76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24"/>
      <c r="F33" s="7"/>
      <c r="G33" s="68" t="s">
        <v>61</v>
      </c>
      <c r="H33" s="68" t="s">
        <v>61</v>
      </c>
      <c r="I33" s="7"/>
      <c r="J33" s="24"/>
      <c r="K33" s="26" t="s">
        <v>61</v>
      </c>
      <c r="L33" s="36"/>
      <c r="M33" s="6">
        <v>75</v>
      </c>
      <c r="N33" s="34"/>
      <c r="O33" s="2">
        <v>12</v>
      </c>
      <c r="P33" s="34"/>
      <c r="Q33" s="24"/>
      <c r="R33" s="24"/>
      <c r="S33" s="26" t="s">
        <v>61</v>
      </c>
      <c r="T33" s="26" t="s">
        <v>61</v>
      </c>
      <c r="U33" s="24"/>
      <c r="V33" s="24"/>
      <c r="W33" s="26" t="s">
        <v>61</v>
      </c>
      <c r="X33" s="34"/>
      <c r="Y33" s="17"/>
      <c r="Z33" s="66">
        <v>5.7</v>
      </c>
      <c r="AA33" s="66">
        <v>7.68</v>
      </c>
      <c r="AB33" s="66">
        <v>5.4</v>
      </c>
      <c r="AC33" s="66">
        <v>5.57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x14ac:dyDescent="0.4">
      <c r="A35" s="3"/>
      <c r="B35" s="1" t="s">
        <v>169</v>
      </c>
      <c r="C35" s="4"/>
      <c r="D35" s="2"/>
      <c r="E35" s="24"/>
      <c r="F35" s="24"/>
      <c r="G35" s="24"/>
      <c r="H35" s="24"/>
      <c r="I35" s="24"/>
      <c r="J35" s="24"/>
      <c r="K35" s="24"/>
      <c r="L35" s="36"/>
      <c r="M35" s="27"/>
      <c r="N35" s="34"/>
      <c r="O35" s="64"/>
      <c r="P35" s="34"/>
      <c r="Q35" s="24"/>
      <c r="R35" s="24"/>
      <c r="S35" s="24"/>
      <c r="T35" s="24"/>
      <c r="U35" s="24"/>
      <c r="V35" s="24"/>
      <c r="W35" s="24"/>
      <c r="X35" s="67" t="s">
        <v>215</v>
      </c>
      <c r="Y35" s="36"/>
      <c r="Z35" s="24"/>
      <c r="AA35" s="24"/>
      <c r="AB35" s="24"/>
      <c r="AC35" s="24"/>
      <c r="AD35" s="34"/>
      <c r="AE35" s="2" t="s">
        <v>37</v>
      </c>
      <c r="AF35" s="66">
        <v>14</v>
      </c>
      <c r="AG35" s="66">
        <v>4.38</v>
      </c>
      <c r="AH35" s="66">
        <f>AF35/AG35</f>
        <v>3.1963470319634704</v>
      </c>
    </row>
    <row r="36" spans="1:34" x14ac:dyDescent="0.4">
      <c r="A36" s="3"/>
      <c r="C36" s="13">
        <v>-25</v>
      </c>
      <c r="D36" s="2"/>
      <c r="E36" s="24"/>
      <c r="F36" s="24"/>
      <c r="G36" s="66">
        <v>8.3000000000000007</v>
      </c>
      <c r="H36" s="66">
        <v>4.68</v>
      </c>
      <c r="I36" s="7"/>
      <c r="J36" s="24"/>
      <c r="K36" s="66">
        <f>G36/H36</f>
        <v>1.7735042735042739</v>
      </c>
      <c r="L36" s="36"/>
      <c r="M36" s="6">
        <v>55</v>
      </c>
      <c r="N36" s="34"/>
      <c r="O36" s="2">
        <v>-25</v>
      </c>
      <c r="P36" s="34"/>
      <c r="Q36" s="24"/>
      <c r="R36" s="7"/>
      <c r="S36" s="66">
        <v>7.15</v>
      </c>
      <c r="T36" s="66">
        <v>5.7</v>
      </c>
      <c r="U36" s="7"/>
      <c r="V36" s="24"/>
      <c r="W36" s="66">
        <f>S36/T36</f>
        <v>1.2543859649122808</v>
      </c>
      <c r="X36" s="34"/>
      <c r="Y36" s="36"/>
      <c r="Z36" s="24"/>
      <c r="AA36" s="24"/>
      <c r="AB36" s="24"/>
      <c r="AC36" s="24"/>
      <c r="AD36" s="34"/>
      <c r="AE36" s="2"/>
      <c r="AF36" s="7"/>
      <c r="AG36" s="7"/>
      <c r="AH36" s="7"/>
    </row>
    <row r="37" spans="1:34" x14ac:dyDescent="0.4">
      <c r="A37" s="46"/>
      <c r="C37" s="13">
        <v>-20</v>
      </c>
      <c r="D37" s="2"/>
      <c r="E37" s="24"/>
      <c r="F37" s="24"/>
      <c r="G37" s="66">
        <v>9</v>
      </c>
      <c r="H37" s="66">
        <v>4.3600000000000003</v>
      </c>
      <c r="I37" s="7"/>
      <c r="J37" s="24"/>
      <c r="K37" s="66">
        <f t="shared" ref="K37:K38" si="10">G37/H37</f>
        <v>2.0642201834862384</v>
      </c>
      <c r="L37" s="36"/>
      <c r="M37" s="6">
        <v>65</v>
      </c>
      <c r="N37" s="34"/>
      <c r="O37" s="2">
        <v>-20</v>
      </c>
      <c r="P37" s="34"/>
      <c r="Q37" s="24"/>
      <c r="R37" s="7"/>
      <c r="S37" s="66">
        <v>8.1999999999999993</v>
      </c>
      <c r="T37" s="66">
        <v>5.57</v>
      </c>
      <c r="U37" s="7"/>
      <c r="V37" s="24"/>
      <c r="W37" s="66">
        <f t="shared" ref="W37:W38" si="11">S37/T37</f>
        <v>1.4721723518850987</v>
      </c>
      <c r="X37" s="34"/>
      <c r="Y37" s="36"/>
      <c r="Z37" s="24"/>
      <c r="AA37" s="24"/>
      <c r="AB37" s="24"/>
      <c r="AC37" s="24"/>
      <c r="AD37" s="34"/>
      <c r="AE37" s="2" t="s">
        <v>38</v>
      </c>
      <c r="AF37" s="66">
        <v>17</v>
      </c>
      <c r="AG37" s="66">
        <v>4.5199999999999996</v>
      </c>
      <c r="AH37" s="66">
        <f>AF37/AG37</f>
        <v>3.7610619469026552</v>
      </c>
    </row>
    <row r="38" spans="1:34" x14ac:dyDescent="0.4">
      <c r="A38" s="3"/>
      <c r="C38" s="2">
        <v>-15</v>
      </c>
      <c r="D38" s="2"/>
      <c r="E38" s="24"/>
      <c r="F38" s="24"/>
      <c r="G38" s="66">
        <v>10.5</v>
      </c>
      <c r="H38" s="66">
        <v>4.38</v>
      </c>
      <c r="I38" s="7"/>
      <c r="J38" s="24"/>
      <c r="K38" s="66">
        <f t="shared" si="10"/>
        <v>2.397260273972603</v>
      </c>
      <c r="L38" s="36"/>
      <c r="M38" s="6">
        <v>75</v>
      </c>
      <c r="N38" s="34"/>
      <c r="O38" s="2">
        <v>-15</v>
      </c>
      <c r="P38" s="34"/>
      <c r="Q38" s="24"/>
      <c r="R38" s="7"/>
      <c r="S38" s="66">
        <v>9.3000000000000007</v>
      </c>
      <c r="T38" s="66">
        <v>5.57</v>
      </c>
      <c r="U38" s="7"/>
      <c r="V38" s="24"/>
      <c r="W38" s="66">
        <f t="shared" si="11"/>
        <v>1.6696588868940754</v>
      </c>
      <c r="X38" s="34"/>
      <c r="Y38" s="36"/>
      <c r="Z38" s="24"/>
      <c r="AA38" s="24"/>
      <c r="AB38" s="24"/>
      <c r="AC38" s="24"/>
      <c r="AD38" s="34"/>
      <c r="AE38" s="2" t="s">
        <v>40</v>
      </c>
      <c r="AF38" s="66">
        <v>15.5</v>
      </c>
      <c r="AG38" s="66">
        <v>3.27</v>
      </c>
      <c r="AH38" s="66">
        <f>AF38/AG38</f>
        <v>4.7400611620795106</v>
      </c>
    </row>
    <row r="39" spans="1:34" x14ac:dyDescent="0.4">
      <c r="A39" s="3"/>
      <c r="C39" s="2">
        <v>-10</v>
      </c>
      <c r="D39" s="2"/>
      <c r="E39" s="24"/>
      <c r="F39" s="24"/>
      <c r="G39" s="43"/>
      <c r="H39" s="43"/>
      <c r="I39" s="7"/>
      <c r="J39" s="24"/>
      <c r="K39" s="66"/>
      <c r="L39" s="36"/>
      <c r="M39" s="6">
        <v>75</v>
      </c>
      <c r="N39" s="34"/>
      <c r="O39" s="2">
        <v>-10</v>
      </c>
      <c r="P39" s="34"/>
      <c r="Q39" s="24"/>
      <c r="R39" s="7"/>
      <c r="S39" s="43"/>
      <c r="T39" s="43"/>
      <c r="U39" s="7"/>
      <c r="V39" s="24"/>
      <c r="W39" s="66"/>
      <c r="X39" s="34"/>
      <c r="Y39" s="17" t="s">
        <v>39</v>
      </c>
      <c r="Z39" s="66">
        <v>11.2</v>
      </c>
      <c r="AA39" s="66">
        <v>2.83</v>
      </c>
      <c r="AB39" s="66">
        <v>10</v>
      </c>
      <c r="AC39" s="66">
        <v>1.92</v>
      </c>
      <c r="AD39" s="34"/>
      <c r="AF39" s="33"/>
      <c r="AG39" s="33"/>
      <c r="AH39" s="33"/>
    </row>
    <row r="40" spans="1:34" x14ac:dyDescent="0.4">
      <c r="A40" s="3"/>
      <c r="C40" s="2">
        <v>-7</v>
      </c>
      <c r="D40" s="2"/>
      <c r="E40" s="24"/>
      <c r="F40" s="24"/>
      <c r="G40" s="66">
        <v>11.7</v>
      </c>
      <c r="H40" s="66">
        <v>4.45</v>
      </c>
      <c r="I40" s="7"/>
      <c r="J40" s="24"/>
      <c r="K40" s="66">
        <f t="shared" ref="K40:K42" si="12">G40/H40</f>
        <v>2.6292134831460672</v>
      </c>
      <c r="L40" s="36"/>
      <c r="M40" s="6">
        <v>75</v>
      </c>
      <c r="N40" s="34"/>
      <c r="O40" s="2">
        <v>-7</v>
      </c>
      <c r="P40" s="34"/>
      <c r="Q40" s="24"/>
      <c r="R40" s="7"/>
      <c r="S40" s="66">
        <v>10.8</v>
      </c>
      <c r="T40" s="66">
        <v>5.68</v>
      </c>
      <c r="U40" s="7"/>
      <c r="V40" s="24"/>
      <c r="W40" s="66">
        <f t="shared" ref="W40:W42" si="13">S40/T40</f>
        <v>1.9014084507042255</v>
      </c>
      <c r="X40" s="34"/>
      <c r="Y40" s="5">
        <f>AA40*(1.029-(0.05*Z40/G42))</f>
        <v>2.7896274999999999</v>
      </c>
      <c r="Z40" s="66">
        <v>11.6</v>
      </c>
      <c r="AA40" s="66">
        <v>2.81</v>
      </c>
      <c r="AB40" s="66">
        <v>10.8</v>
      </c>
      <c r="AC40" s="66">
        <v>2.04</v>
      </c>
      <c r="AD40" s="34"/>
      <c r="AE40" s="2"/>
      <c r="AF40" s="34"/>
      <c r="AG40" s="34"/>
      <c r="AH40" s="33"/>
    </row>
    <row r="41" spans="1:34" x14ac:dyDescent="0.4">
      <c r="A41" s="3"/>
      <c r="C41" s="2">
        <v>2</v>
      </c>
      <c r="D41" s="2"/>
      <c r="E41" s="24"/>
      <c r="F41" s="24"/>
      <c r="G41" s="66">
        <v>13</v>
      </c>
      <c r="H41" s="66">
        <v>3.94</v>
      </c>
      <c r="I41" s="7"/>
      <c r="J41" s="24"/>
      <c r="K41" s="66">
        <f t="shared" si="12"/>
        <v>3.2994923857868019</v>
      </c>
      <c r="L41" s="36"/>
      <c r="M41" s="6">
        <v>75</v>
      </c>
      <c r="N41" s="34"/>
      <c r="O41" s="2">
        <v>2</v>
      </c>
      <c r="P41" s="34"/>
      <c r="Q41" s="24"/>
      <c r="R41" s="7"/>
      <c r="S41" s="66">
        <v>12</v>
      </c>
      <c r="T41" s="66">
        <v>5.29</v>
      </c>
      <c r="U41" s="7"/>
      <c r="V41" s="24"/>
      <c r="W41" s="66">
        <f t="shared" si="13"/>
        <v>2.2684310018903591</v>
      </c>
      <c r="X41" s="34"/>
      <c r="Y41" s="5">
        <f>AA41*(0.906-(0.044*Z41/G42))</f>
        <v>3.9222112499999997</v>
      </c>
      <c r="Z41" s="66">
        <v>7.5</v>
      </c>
      <c r="AA41" s="66">
        <v>4.43</v>
      </c>
      <c r="AB41" s="66">
        <v>7</v>
      </c>
      <c r="AC41" s="66">
        <v>3.64</v>
      </c>
      <c r="AD41" s="34"/>
      <c r="AE41" s="2"/>
      <c r="AF41" s="34"/>
      <c r="AG41" s="34"/>
      <c r="AH41" s="33"/>
    </row>
    <row r="42" spans="1:34" x14ac:dyDescent="0.4">
      <c r="A42" s="3"/>
      <c r="C42" s="2">
        <v>7</v>
      </c>
      <c r="D42" s="2"/>
      <c r="E42" s="24"/>
      <c r="F42" s="24"/>
      <c r="G42" s="66">
        <v>16</v>
      </c>
      <c r="H42" s="66">
        <v>3.44</v>
      </c>
      <c r="I42" s="7"/>
      <c r="J42" s="24"/>
      <c r="K42" s="66">
        <f t="shared" si="12"/>
        <v>4.6511627906976747</v>
      </c>
      <c r="L42" s="36"/>
      <c r="M42" s="6">
        <v>75</v>
      </c>
      <c r="N42" s="34"/>
      <c r="O42" s="2">
        <v>7</v>
      </c>
      <c r="P42" s="34"/>
      <c r="Q42" s="24"/>
      <c r="R42" s="7"/>
      <c r="S42" s="66">
        <v>14.7</v>
      </c>
      <c r="T42" s="66">
        <v>4.9000000000000004</v>
      </c>
      <c r="U42" s="7"/>
      <c r="V42" s="24"/>
      <c r="W42" s="66">
        <f t="shared" si="13"/>
        <v>2.9999999999999996</v>
      </c>
      <c r="X42" s="34"/>
      <c r="Y42" s="5">
        <f>K42</f>
        <v>4.6511627906976747</v>
      </c>
      <c r="Z42" s="66">
        <v>4.9000000000000004</v>
      </c>
      <c r="AA42" s="66">
        <v>6.35</v>
      </c>
      <c r="AB42" s="66">
        <v>4.7</v>
      </c>
      <c r="AC42" s="66">
        <v>4.76</v>
      </c>
      <c r="AD42" s="34"/>
      <c r="AE42" s="2"/>
      <c r="AF42" s="34"/>
      <c r="AG42" s="34"/>
      <c r="AH42" s="33"/>
    </row>
    <row r="43" spans="1:34" x14ac:dyDescent="0.4">
      <c r="A43" s="3"/>
      <c r="C43" s="2">
        <v>12</v>
      </c>
      <c r="D43" s="2"/>
      <c r="E43" s="24"/>
      <c r="F43" s="24"/>
      <c r="G43" s="26" t="s">
        <v>61</v>
      </c>
      <c r="H43" s="26" t="s">
        <v>61</v>
      </c>
      <c r="I43" s="24"/>
      <c r="J43" s="24"/>
      <c r="K43" s="26" t="s">
        <v>61</v>
      </c>
      <c r="L43" s="36"/>
      <c r="M43" s="6">
        <v>75</v>
      </c>
      <c r="N43" s="34"/>
      <c r="O43" s="2">
        <v>12</v>
      </c>
      <c r="P43" s="34"/>
      <c r="Q43" s="24"/>
      <c r="R43" s="24"/>
      <c r="S43" s="68" t="s">
        <v>61</v>
      </c>
      <c r="T43" s="68" t="s">
        <v>61</v>
      </c>
      <c r="U43" s="7"/>
      <c r="V43" s="24"/>
      <c r="W43" s="26" t="s">
        <v>61</v>
      </c>
      <c r="X43" s="34"/>
      <c r="Y43" s="17"/>
      <c r="Z43" s="66">
        <v>5.7</v>
      </c>
      <c r="AA43" s="66">
        <v>7.68</v>
      </c>
      <c r="AB43" s="66">
        <v>5.4</v>
      </c>
      <c r="AC43" s="66">
        <v>5.57</v>
      </c>
      <c r="AD43" s="34"/>
      <c r="AE43" s="2"/>
      <c r="AF43" s="34"/>
      <c r="AG43" s="34"/>
      <c r="AH43" s="33"/>
    </row>
    <row r="44" spans="1:34" x14ac:dyDescent="0.4">
      <c r="A44" s="8"/>
      <c r="B44" s="8"/>
      <c r="C44" s="9"/>
      <c r="D44" s="9"/>
      <c r="E44" s="18"/>
      <c r="F44" s="18"/>
      <c r="G44" s="22"/>
      <c r="H44" s="22"/>
      <c r="I44" s="22"/>
      <c r="J44" s="22"/>
      <c r="K44" s="22"/>
      <c r="L44" s="18"/>
      <c r="M44" s="18"/>
      <c r="N44" s="18"/>
      <c r="O44" s="18"/>
      <c r="P44" s="18"/>
      <c r="Q44" s="18"/>
      <c r="R44" s="22"/>
      <c r="S44" s="22"/>
      <c r="T44" s="22"/>
      <c r="U44" s="22"/>
      <c r="V44" s="22"/>
      <c r="W44" s="22"/>
      <c r="X44" s="18"/>
      <c r="Y44" s="22"/>
      <c r="Z44" s="22"/>
      <c r="AA44" s="22"/>
      <c r="AB44" s="22"/>
      <c r="AC44" s="22"/>
      <c r="AD44" s="18"/>
      <c r="AE44" s="18"/>
      <c r="AF44" s="18"/>
      <c r="AG44" s="18"/>
      <c r="AH44" s="18"/>
    </row>
    <row r="45" spans="1:34" x14ac:dyDescent="0.4">
      <c r="A45"/>
      <c r="AF45" s="15"/>
      <c r="AG45" s="15"/>
      <c r="AH45" s="15"/>
    </row>
    <row r="46" spans="1:34" x14ac:dyDescent="0.4">
      <c r="A46" s="47" t="s">
        <v>41</v>
      </c>
    </row>
    <row r="48" spans="1:34" x14ac:dyDescent="0.4">
      <c r="A48" s="1" t="s">
        <v>161</v>
      </c>
    </row>
    <row r="49" spans="1:37" s="1" customFormat="1" x14ac:dyDescent="0.4">
      <c r="A49" s="1" t="s">
        <v>213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1" spans="1:37" s="1" customFormat="1" x14ac:dyDescent="0.4">
      <c r="A51" s="1" t="s">
        <v>162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1" customFormat="1" x14ac:dyDescent="0.4">
      <c r="A52" s="1" t="s">
        <v>214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4" spans="1:37" s="1" customFormat="1" x14ac:dyDescent="0.4">
      <c r="A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 s="1" customFormat="1" x14ac:dyDescent="0.4">
      <c r="A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CF62-7537-44F8-9DC4-8AA86FF89D85}">
  <sheetPr>
    <tabColor rgb="FFFF0000"/>
  </sheetPr>
  <dimension ref="A1:AK45"/>
  <sheetViews>
    <sheetView workbookViewId="0">
      <selection activeCell="AL15" sqref="AL15"/>
    </sheetView>
  </sheetViews>
  <sheetFormatPr baseColWidth="10" defaultColWidth="9.23046875" defaultRowHeight="14.6" x14ac:dyDescent="0.4"/>
  <cols>
    <col min="1" max="1" width="22" style="1" bestFit="1" customWidth="1"/>
    <col min="2" max="2" width="14.69140625" style="1" bestFit="1" customWidth="1"/>
    <col min="3" max="3" width="12" bestFit="1" customWidth="1"/>
    <col min="4" max="4" width="2.69140625" customWidth="1"/>
    <col min="8" max="8" width="10.3046875" customWidth="1"/>
    <col min="12" max="12" width="2.53515625" customWidth="1"/>
    <col min="13" max="13" width="14.07421875" customWidth="1"/>
    <col min="14" max="14" width="4.69140625" customWidth="1"/>
    <col min="15" max="15" width="12.53515625" customWidth="1"/>
    <col min="16" max="16" width="2.53515625" customWidth="1"/>
    <col min="17" max="19" width="9" customWidth="1"/>
    <col min="20" max="20" width="10.3046875" customWidth="1"/>
    <col min="21" max="23" width="9" customWidth="1"/>
    <col min="24" max="24" width="9.84375" customWidth="1"/>
    <col min="25" max="25" width="6.84375" bestFit="1" customWidth="1"/>
    <col min="26" max="26" width="9.53515625" bestFit="1" customWidth="1"/>
    <col min="27" max="27" width="7.53515625" customWidth="1"/>
    <col min="28" max="28" width="9.53515625" customWidth="1"/>
    <col min="29" max="29" width="6.69140625" customWidth="1"/>
    <col min="30" max="30" width="2.69140625" customWidth="1"/>
    <col min="31" max="31" width="5.53515625" bestFit="1" customWidth="1"/>
    <col min="32" max="32" width="8.07421875" bestFit="1" customWidth="1"/>
    <col min="33" max="33" width="10.3046875" customWidth="1"/>
    <col min="34" max="34" width="7.3046875" customWidth="1"/>
  </cols>
  <sheetData>
    <row r="1" spans="1:37" x14ac:dyDescent="0.4">
      <c r="C1" s="1" t="s">
        <v>17</v>
      </c>
    </row>
    <row r="2" spans="1:37" x14ac:dyDescent="0.4">
      <c r="C2" s="1" t="s">
        <v>18</v>
      </c>
      <c r="O2" s="1" t="s">
        <v>19</v>
      </c>
      <c r="AF2" s="1"/>
    </row>
    <row r="3" spans="1:37" ht="72.900000000000006" x14ac:dyDescent="0.4">
      <c r="B3" s="1" t="s">
        <v>10</v>
      </c>
      <c r="C3" s="3" t="s">
        <v>20</v>
      </c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 t="s">
        <v>20</v>
      </c>
      <c r="P3" s="3"/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29</v>
      </c>
      <c r="Y3" s="3" t="s">
        <v>53</v>
      </c>
      <c r="Z3" s="3" t="s">
        <v>30</v>
      </c>
      <c r="AA3" s="3" t="s">
        <v>31</v>
      </c>
      <c r="AB3" s="3" t="s">
        <v>32</v>
      </c>
      <c r="AC3" s="3" t="s">
        <v>33</v>
      </c>
      <c r="AD3" s="3"/>
      <c r="AE3" s="3"/>
      <c r="AF3" s="3" t="s">
        <v>34</v>
      </c>
      <c r="AG3" s="3" t="s">
        <v>35</v>
      </c>
      <c r="AH3" s="3" t="s">
        <v>36</v>
      </c>
    </row>
    <row r="4" spans="1:37" x14ac:dyDescent="0.4">
      <c r="A4" s="8"/>
      <c r="B4" s="8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4"/>
      <c r="O4" s="14"/>
      <c r="P4" s="14"/>
      <c r="Q4" s="18"/>
      <c r="R4" s="18"/>
      <c r="S4" s="18"/>
      <c r="T4" s="18"/>
      <c r="U4" s="18"/>
      <c r="V4" s="18"/>
      <c r="W4" s="18"/>
      <c r="X4" s="18"/>
      <c r="Y4" s="22"/>
      <c r="Z4" s="22"/>
      <c r="AA4" s="22"/>
      <c r="AB4" s="22"/>
      <c r="AC4" s="22"/>
      <c r="AD4" s="14"/>
      <c r="AE4" s="14"/>
      <c r="AF4" s="18"/>
      <c r="AG4" s="18"/>
      <c r="AH4" s="18"/>
    </row>
    <row r="5" spans="1:37" x14ac:dyDescent="0.4">
      <c r="A5" s="3" t="s">
        <v>151</v>
      </c>
      <c r="B5" s="1" t="s">
        <v>68</v>
      </c>
      <c r="C5" s="4">
        <v>-28</v>
      </c>
      <c r="D5" s="2"/>
      <c r="E5" s="61"/>
      <c r="F5" s="24"/>
      <c r="G5" s="24"/>
      <c r="H5" s="24"/>
      <c r="I5" s="24"/>
      <c r="J5" s="24"/>
      <c r="K5" s="24"/>
      <c r="L5" s="36"/>
      <c r="M5" s="63">
        <v>55</v>
      </c>
      <c r="N5" s="34"/>
      <c r="O5" s="64">
        <v>-28</v>
      </c>
      <c r="P5" s="34"/>
      <c r="Q5" s="24"/>
      <c r="R5" s="24"/>
      <c r="S5" s="24"/>
      <c r="T5" s="24"/>
      <c r="U5" s="24"/>
      <c r="V5" s="24"/>
      <c r="W5" s="24"/>
      <c r="X5" s="65" t="s">
        <v>152</v>
      </c>
      <c r="Y5" s="36"/>
      <c r="Z5" s="24"/>
      <c r="AA5" s="24"/>
      <c r="AB5" s="24"/>
      <c r="AC5" s="24"/>
      <c r="AD5" s="34"/>
      <c r="AE5" s="2" t="s">
        <v>37</v>
      </c>
      <c r="AF5" s="65" t="s">
        <v>152</v>
      </c>
      <c r="AG5" s="65" t="s">
        <v>152</v>
      </c>
      <c r="AH5" s="65" t="s">
        <v>152</v>
      </c>
    </row>
    <row r="6" spans="1:37" x14ac:dyDescent="0.4">
      <c r="A6" s="3"/>
      <c r="C6" s="13">
        <v>-25</v>
      </c>
      <c r="D6" s="2"/>
      <c r="E6" s="61"/>
      <c r="F6" s="24"/>
      <c r="G6" s="65" t="s">
        <v>152</v>
      </c>
      <c r="H6" s="65" t="s">
        <v>152</v>
      </c>
      <c r="I6" s="24"/>
      <c r="J6" s="24"/>
      <c r="K6" s="65" t="s">
        <v>152</v>
      </c>
      <c r="L6" s="36"/>
      <c r="M6" s="63">
        <v>55</v>
      </c>
      <c r="N6" s="34"/>
      <c r="O6" s="2">
        <v>-25</v>
      </c>
      <c r="P6" s="34"/>
      <c r="Q6" s="24"/>
      <c r="R6" s="24"/>
      <c r="S6" s="65" t="s">
        <v>152</v>
      </c>
      <c r="T6" s="65" t="s">
        <v>152</v>
      </c>
      <c r="U6" s="24"/>
      <c r="V6" s="24"/>
      <c r="W6" s="65" t="s">
        <v>152</v>
      </c>
      <c r="X6" s="34"/>
      <c r="Y6" s="36"/>
      <c r="Z6" s="24"/>
      <c r="AA6" s="24"/>
      <c r="AB6" s="24"/>
      <c r="AC6" s="24"/>
      <c r="AD6" s="34"/>
      <c r="AE6" s="2"/>
      <c r="AF6" s="28"/>
      <c r="AG6" s="28"/>
      <c r="AH6" s="28"/>
      <c r="AK6" s="33"/>
    </row>
    <row r="7" spans="1:37" x14ac:dyDescent="0.4">
      <c r="A7" s="46"/>
      <c r="C7" s="13">
        <v>-20</v>
      </c>
      <c r="D7" s="2"/>
      <c r="E7" s="61"/>
      <c r="F7" s="24"/>
      <c r="G7" s="65" t="s">
        <v>152</v>
      </c>
      <c r="H7" s="65" t="s">
        <v>152</v>
      </c>
      <c r="I7" s="24"/>
      <c r="J7" s="24"/>
      <c r="K7" s="65" t="s">
        <v>152</v>
      </c>
      <c r="L7" s="36"/>
      <c r="M7" s="63">
        <v>65</v>
      </c>
      <c r="N7" s="34"/>
      <c r="O7" s="2">
        <v>-20</v>
      </c>
      <c r="P7" s="34"/>
      <c r="Q7" s="24"/>
      <c r="R7" s="24"/>
      <c r="S7" s="65" t="s">
        <v>152</v>
      </c>
      <c r="T7" s="65" t="s">
        <v>152</v>
      </c>
      <c r="U7" s="24"/>
      <c r="V7" s="24"/>
      <c r="W7" s="65" t="s">
        <v>152</v>
      </c>
      <c r="X7" s="34"/>
      <c r="Y7" s="36"/>
      <c r="Z7" s="24"/>
      <c r="AA7" s="24"/>
      <c r="AB7" s="24"/>
      <c r="AC7" s="24"/>
      <c r="AD7" s="34"/>
      <c r="AE7" s="2" t="s">
        <v>38</v>
      </c>
      <c r="AF7" s="65" t="s">
        <v>152</v>
      </c>
      <c r="AG7" s="65" t="s">
        <v>152</v>
      </c>
      <c r="AH7" s="65" t="s">
        <v>152</v>
      </c>
    </row>
    <row r="8" spans="1:37" x14ac:dyDescent="0.4">
      <c r="A8" s="3"/>
      <c r="C8" s="2">
        <v>-15</v>
      </c>
      <c r="D8" s="2"/>
      <c r="E8" s="61"/>
      <c r="F8" s="24"/>
      <c r="G8" s="65" t="s">
        <v>152</v>
      </c>
      <c r="H8" s="65" t="s">
        <v>152</v>
      </c>
      <c r="I8" s="24"/>
      <c r="J8" s="24"/>
      <c r="K8" s="65" t="s">
        <v>152</v>
      </c>
      <c r="L8" s="36"/>
      <c r="M8" s="63">
        <v>75</v>
      </c>
      <c r="N8" s="34"/>
      <c r="O8" s="2">
        <v>-15</v>
      </c>
      <c r="P8" s="34"/>
      <c r="Q8" s="24"/>
      <c r="R8" s="24"/>
      <c r="S8" s="65" t="s">
        <v>152</v>
      </c>
      <c r="T8" s="65" t="s">
        <v>152</v>
      </c>
      <c r="U8" s="24"/>
      <c r="V8" s="24"/>
      <c r="W8" s="65" t="s">
        <v>152</v>
      </c>
      <c r="X8" s="34"/>
      <c r="Y8" s="36"/>
      <c r="Z8" s="24"/>
      <c r="AA8" s="24"/>
      <c r="AB8" s="24"/>
      <c r="AC8" s="24"/>
      <c r="AD8" s="34"/>
      <c r="AE8" s="2" t="s">
        <v>40</v>
      </c>
      <c r="AF8" s="65" t="s">
        <v>152</v>
      </c>
      <c r="AG8" s="65" t="s">
        <v>152</v>
      </c>
      <c r="AH8" s="65" t="s">
        <v>152</v>
      </c>
    </row>
    <row r="9" spans="1:37" x14ac:dyDescent="0.4">
      <c r="A9" s="3"/>
      <c r="C9" s="2">
        <v>-10</v>
      </c>
      <c r="D9" s="2"/>
      <c r="E9" s="61"/>
      <c r="F9" s="24"/>
      <c r="G9" s="26" t="s">
        <v>61</v>
      </c>
      <c r="H9" s="26" t="s">
        <v>61</v>
      </c>
      <c r="I9" s="24"/>
      <c r="J9" s="24"/>
      <c r="K9" s="26" t="s">
        <v>61</v>
      </c>
      <c r="L9" s="36"/>
      <c r="M9" s="63">
        <v>75</v>
      </c>
      <c r="N9" s="34"/>
      <c r="O9" s="2">
        <v>-10</v>
      </c>
      <c r="P9" s="34"/>
      <c r="Q9" s="24"/>
      <c r="R9" s="24"/>
      <c r="S9" s="26" t="s">
        <v>61</v>
      </c>
      <c r="T9" s="26" t="s">
        <v>61</v>
      </c>
      <c r="U9" s="24"/>
      <c r="V9" s="24"/>
      <c r="W9" s="26" t="s">
        <v>61</v>
      </c>
      <c r="X9" s="34"/>
      <c r="Y9" s="36" t="s">
        <v>39</v>
      </c>
      <c r="Z9" s="65" t="s">
        <v>152</v>
      </c>
      <c r="AA9" s="65" t="s">
        <v>152</v>
      </c>
      <c r="AB9" s="65" t="s">
        <v>152</v>
      </c>
      <c r="AC9" s="65" t="s">
        <v>152</v>
      </c>
      <c r="AD9" s="34"/>
      <c r="AF9" s="33"/>
      <c r="AG9" s="33"/>
      <c r="AH9" s="33"/>
    </row>
    <row r="10" spans="1:37" x14ac:dyDescent="0.4">
      <c r="A10" s="3"/>
      <c r="C10" s="2">
        <v>-7</v>
      </c>
      <c r="D10" s="2"/>
      <c r="E10" s="61"/>
      <c r="F10" s="24"/>
      <c r="G10" s="65" t="s">
        <v>152</v>
      </c>
      <c r="H10" s="65" t="s">
        <v>152</v>
      </c>
      <c r="I10" s="24"/>
      <c r="J10" s="24"/>
      <c r="K10" s="65" t="s">
        <v>152</v>
      </c>
      <c r="L10" s="36"/>
      <c r="M10" s="63">
        <v>75</v>
      </c>
      <c r="N10" s="34"/>
      <c r="O10" s="2">
        <v>-7</v>
      </c>
      <c r="P10" s="34"/>
      <c r="Q10" s="24"/>
      <c r="R10" s="24"/>
      <c r="S10" s="65" t="s">
        <v>152</v>
      </c>
      <c r="T10" s="65" t="s">
        <v>152</v>
      </c>
      <c r="U10" s="24"/>
      <c r="V10" s="24"/>
      <c r="W10" s="65" t="s">
        <v>152</v>
      </c>
      <c r="X10" s="34"/>
      <c r="Y10" s="65" t="s">
        <v>152</v>
      </c>
      <c r="Z10" s="65" t="s">
        <v>152</v>
      </c>
      <c r="AA10" s="65" t="s">
        <v>152</v>
      </c>
      <c r="AB10" s="65" t="s">
        <v>152</v>
      </c>
      <c r="AC10" s="65" t="s">
        <v>152</v>
      </c>
      <c r="AD10" s="34"/>
      <c r="AE10" s="2"/>
      <c r="AF10" s="34"/>
      <c r="AG10" s="34"/>
      <c r="AH10" s="33"/>
    </row>
    <row r="11" spans="1:37" x14ac:dyDescent="0.4">
      <c r="A11" s="3"/>
      <c r="C11" s="2">
        <v>2</v>
      </c>
      <c r="D11" s="2"/>
      <c r="E11" s="61"/>
      <c r="F11" s="24"/>
      <c r="G11" s="65" t="s">
        <v>152</v>
      </c>
      <c r="H11" s="65" t="s">
        <v>152</v>
      </c>
      <c r="I11" s="24"/>
      <c r="J11" s="24"/>
      <c r="K11" s="65" t="s">
        <v>152</v>
      </c>
      <c r="L11" s="36"/>
      <c r="M11" s="63">
        <v>75</v>
      </c>
      <c r="N11" s="34"/>
      <c r="O11" s="2">
        <v>2</v>
      </c>
      <c r="P11" s="34"/>
      <c r="Q11" s="24"/>
      <c r="R11" s="24"/>
      <c r="S11" s="65" t="s">
        <v>152</v>
      </c>
      <c r="T11" s="65" t="s">
        <v>152</v>
      </c>
      <c r="U11" s="24"/>
      <c r="V11" s="24"/>
      <c r="W11" s="65" t="s">
        <v>152</v>
      </c>
      <c r="X11" s="34"/>
      <c r="Y11" s="65" t="s">
        <v>152</v>
      </c>
      <c r="Z11" s="65" t="s">
        <v>152</v>
      </c>
      <c r="AA11" s="65" t="s">
        <v>152</v>
      </c>
      <c r="AB11" s="65" t="s">
        <v>152</v>
      </c>
      <c r="AC11" s="65" t="s">
        <v>152</v>
      </c>
      <c r="AD11" s="34"/>
      <c r="AE11" s="2"/>
      <c r="AF11" s="34"/>
      <c r="AG11" s="34"/>
      <c r="AH11" s="33"/>
    </row>
    <row r="12" spans="1:37" x14ac:dyDescent="0.4">
      <c r="A12" s="3"/>
      <c r="C12" s="2">
        <v>7</v>
      </c>
      <c r="D12" s="2"/>
      <c r="E12" s="61"/>
      <c r="F12" s="24"/>
      <c r="G12" s="65" t="s">
        <v>152</v>
      </c>
      <c r="H12" s="65" t="s">
        <v>152</v>
      </c>
      <c r="I12" s="24"/>
      <c r="J12" s="24"/>
      <c r="K12" s="65" t="s">
        <v>152</v>
      </c>
      <c r="L12" s="36"/>
      <c r="M12" s="63">
        <v>75</v>
      </c>
      <c r="N12" s="34"/>
      <c r="O12" s="2">
        <v>7</v>
      </c>
      <c r="P12" s="34"/>
      <c r="Q12" s="24"/>
      <c r="R12" s="24"/>
      <c r="S12" s="65" t="s">
        <v>152</v>
      </c>
      <c r="T12" s="65" t="s">
        <v>152</v>
      </c>
      <c r="U12" s="24"/>
      <c r="V12" s="24"/>
      <c r="W12" s="65" t="s">
        <v>152</v>
      </c>
      <c r="X12" s="34"/>
      <c r="Y12" s="65" t="s">
        <v>152</v>
      </c>
      <c r="Z12" s="65" t="s">
        <v>152</v>
      </c>
      <c r="AA12" s="65" t="s">
        <v>152</v>
      </c>
      <c r="AB12" s="65" t="s">
        <v>152</v>
      </c>
      <c r="AC12" s="65" t="s">
        <v>152</v>
      </c>
      <c r="AD12" s="34"/>
      <c r="AE12" s="2"/>
      <c r="AF12" s="34"/>
      <c r="AG12" s="34"/>
      <c r="AH12" s="33"/>
    </row>
    <row r="13" spans="1:37" x14ac:dyDescent="0.4">
      <c r="A13" s="3"/>
      <c r="C13" s="2">
        <v>12</v>
      </c>
      <c r="D13" s="2"/>
      <c r="E13" s="61"/>
      <c r="F13" s="24"/>
      <c r="G13" s="26" t="s">
        <v>61</v>
      </c>
      <c r="H13" s="26" t="s">
        <v>61</v>
      </c>
      <c r="I13" s="24"/>
      <c r="J13" s="24"/>
      <c r="K13" s="26" t="s">
        <v>61</v>
      </c>
      <c r="L13" s="36"/>
      <c r="M13" s="63">
        <v>75</v>
      </c>
      <c r="N13" s="34"/>
      <c r="O13" s="2">
        <v>12</v>
      </c>
      <c r="P13" s="34"/>
      <c r="Q13" s="24"/>
      <c r="R13" s="24"/>
      <c r="S13" s="26" t="s">
        <v>61</v>
      </c>
      <c r="T13" s="26" t="s">
        <v>61</v>
      </c>
      <c r="U13" s="24"/>
      <c r="V13" s="24"/>
      <c r="W13" s="26" t="s">
        <v>61</v>
      </c>
      <c r="X13" s="34"/>
      <c r="Y13" s="36"/>
      <c r="Z13" s="65" t="s">
        <v>152</v>
      </c>
      <c r="AA13" s="65" t="s">
        <v>152</v>
      </c>
      <c r="AB13" s="65" t="s">
        <v>152</v>
      </c>
      <c r="AC13" s="65" t="s">
        <v>152</v>
      </c>
      <c r="AD13" s="34"/>
      <c r="AE13" s="2"/>
      <c r="AF13" s="34"/>
      <c r="AG13" s="34"/>
      <c r="AH13" s="33"/>
    </row>
    <row r="14" spans="1:37" x14ac:dyDescent="0.4">
      <c r="A14" s="8"/>
      <c r="B14" s="8"/>
      <c r="C14" s="9"/>
      <c r="D14" s="9"/>
      <c r="E14" s="30"/>
      <c r="F14" s="30"/>
      <c r="G14" s="31"/>
      <c r="H14" s="31"/>
      <c r="I14" s="31"/>
      <c r="J14" s="31"/>
      <c r="K14" s="31"/>
      <c r="L14" s="30"/>
      <c r="M14" s="9"/>
      <c r="N14" s="30"/>
      <c r="O14" s="9"/>
      <c r="P14" s="30"/>
      <c r="Q14" s="30"/>
      <c r="R14" s="31"/>
      <c r="S14" s="31"/>
      <c r="T14" s="31"/>
      <c r="U14" s="31"/>
      <c r="V14" s="31"/>
      <c r="W14" s="31"/>
      <c r="X14" s="30"/>
      <c r="Y14" s="31"/>
      <c r="Z14" s="31"/>
      <c r="AA14" s="31"/>
      <c r="AB14" s="31"/>
      <c r="AC14" s="31"/>
      <c r="AD14" s="30"/>
      <c r="AE14" s="9"/>
      <c r="AF14" s="30"/>
      <c r="AG14" s="30"/>
      <c r="AH14" s="30"/>
    </row>
    <row r="15" spans="1:37" x14ac:dyDescent="0.4">
      <c r="A15" s="3"/>
      <c r="C15" s="4">
        <v>-28</v>
      </c>
      <c r="D15" s="2"/>
      <c r="E15" s="24"/>
      <c r="F15" s="24"/>
      <c r="G15" s="24"/>
      <c r="H15" s="24"/>
      <c r="I15" s="24"/>
      <c r="J15" s="24"/>
      <c r="K15" s="24"/>
      <c r="L15" s="36"/>
      <c r="M15" s="63">
        <v>55</v>
      </c>
      <c r="N15" s="34"/>
      <c r="O15" s="64">
        <v>-28</v>
      </c>
      <c r="P15" s="34"/>
      <c r="Q15" s="24"/>
      <c r="R15" s="24"/>
      <c r="S15" s="24"/>
      <c r="T15" s="24"/>
      <c r="U15" s="24"/>
      <c r="V15" s="24"/>
      <c r="W15" s="24"/>
      <c r="X15" s="62">
        <v>9</v>
      </c>
      <c r="Y15" s="36"/>
      <c r="Z15" s="24"/>
      <c r="AA15" s="24"/>
      <c r="AB15" s="24"/>
      <c r="AC15" s="24"/>
      <c r="AD15" s="34"/>
      <c r="AE15" s="2" t="s">
        <v>37</v>
      </c>
      <c r="AF15" s="65" t="s">
        <v>152</v>
      </c>
      <c r="AG15" s="65" t="s">
        <v>152</v>
      </c>
      <c r="AH15" s="65" t="s">
        <v>152</v>
      </c>
    </row>
    <row r="16" spans="1:37" x14ac:dyDescent="0.4">
      <c r="A16" s="3"/>
      <c r="C16" s="13">
        <v>-25</v>
      </c>
      <c r="D16" s="2"/>
      <c r="E16" s="24"/>
      <c r="F16" s="24"/>
      <c r="G16" s="65" t="s">
        <v>152</v>
      </c>
      <c r="H16" s="65" t="s">
        <v>152</v>
      </c>
      <c r="I16" s="24"/>
      <c r="J16" s="24"/>
      <c r="K16" s="65" t="s">
        <v>152</v>
      </c>
      <c r="L16" s="36"/>
      <c r="M16" s="63">
        <v>55</v>
      </c>
      <c r="N16" s="34"/>
      <c r="O16" s="2">
        <v>-25</v>
      </c>
      <c r="P16" s="34"/>
      <c r="Q16" s="24"/>
      <c r="R16" s="24"/>
      <c r="S16" s="65" t="s">
        <v>152</v>
      </c>
      <c r="T16" s="65" t="s">
        <v>152</v>
      </c>
      <c r="U16" s="24"/>
      <c r="V16" s="24"/>
      <c r="W16" s="65" t="s">
        <v>152</v>
      </c>
      <c r="X16" s="34"/>
      <c r="Y16" s="36"/>
      <c r="Z16" s="24"/>
      <c r="AA16" s="24"/>
      <c r="AB16" s="24"/>
      <c r="AC16" s="24"/>
      <c r="AD16" s="34"/>
      <c r="AE16" s="2"/>
      <c r="AF16" s="28"/>
      <c r="AG16" s="28"/>
      <c r="AH16" s="28"/>
    </row>
    <row r="17" spans="1:34" x14ac:dyDescent="0.4">
      <c r="A17" s="46"/>
      <c r="C17" s="13">
        <v>-20</v>
      </c>
      <c r="D17" s="2"/>
      <c r="E17" s="24"/>
      <c r="F17" s="24"/>
      <c r="G17" s="65" t="s">
        <v>152</v>
      </c>
      <c r="H17" s="65" t="s">
        <v>152</v>
      </c>
      <c r="I17" s="24"/>
      <c r="J17" s="24"/>
      <c r="K17" s="65" t="s">
        <v>152</v>
      </c>
      <c r="L17" s="36"/>
      <c r="M17" s="63">
        <v>65</v>
      </c>
      <c r="N17" s="34"/>
      <c r="O17" s="2">
        <v>-20</v>
      </c>
      <c r="P17" s="34"/>
      <c r="Q17" s="24"/>
      <c r="R17" s="24"/>
      <c r="S17" s="65" t="s">
        <v>152</v>
      </c>
      <c r="T17" s="65" t="s">
        <v>152</v>
      </c>
      <c r="U17" s="24"/>
      <c r="V17" s="24"/>
      <c r="W17" s="65" t="s">
        <v>152</v>
      </c>
      <c r="X17" s="34"/>
      <c r="Y17" s="36"/>
      <c r="Z17" s="24"/>
      <c r="AA17" s="24"/>
      <c r="AB17" s="24"/>
      <c r="AC17" s="24"/>
      <c r="AD17" s="34"/>
      <c r="AE17" s="2" t="s">
        <v>38</v>
      </c>
      <c r="AF17" s="65" t="s">
        <v>152</v>
      </c>
      <c r="AG17" s="65" t="s">
        <v>152</v>
      </c>
      <c r="AH17" s="65" t="s">
        <v>152</v>
      </c>
    </row>
    <row r="18" spans="1:34" x14ac:dyDescent="0.4">
      <c r="A18" s="3"/>
      <c r="C18" s="2">
        <v>-15</v>
      </c>
      <c r="D18" s="2"/>
      <c r="E18" s="24"/>
      <c r="F18" s="24"/>
      <c r="G18" s="65" t="s">
        <v>152</v>
      </c>
      <c r="H18" s="65" t="s">
        <v>152</v>
      </c>
      <c r="I18" s="24"/>
      <c r="J18" s="24"/>
      <c r="K18" s="65" t="s">
        <v>152</v>
      </c>
      <c r="L18" s="36"/>
      <c r="M18" s="63">
        <v>75</v>
      </c>
      <c r="N18" s="34"/>
      <c r="O18" s="2">
        <v>-15</v>
      </c>
      <c r="P18" s="34"/>
      <c r="Q18" s="24"/>
      <c r="R18" s="24"/>
      <c r="S18" s="65" t="s">
        <v>152</v>
      </c>
      <c r="T18" s="65" t="s">
        <v>152</v>
      </c>
      <c r="U18" s="24"/>
      <c r="V18" s="24"/>
      <c r="W18" s="65" t="s">
        <v>152</v>
      </c>
      <c r="X18" s="34"/>
      <c r="Y18" s="36"/>
      <c r="Z18" s="24"/>
      <c r="AA18" s="24"/>
      <c r="AB18" s="24"/>
      <c r="AC18" s="24"/>
      <c r="AD18" s="34"/>
      <c r="AE18" s="2" t="s">
        <v>40</v>
      </c>
      <c r="AF18" s="65" t="s">
        <v>152</v>
      </c>
      <c r="AG18" s="65" t="s">
        <v>152</v>
      </c>
      <c r="AH18" s="65" t="s">
        <v>152</v>
      </c>
    </row>
    <row r="19" spans="1:34" x14ac:dyDescent="0.4">
      <c r="A19" s="3"/>
      <c r="C19" s="2">
        <v>-10</v>
      </c>
      <c r="D19" s="2"/>
      <c r="E19" s="24"/>
      <c r="F19" s="24"/>
      <c r="G19" s="26" t="s">
        <v>61</v>
      </c>
      <c r="H19" s="26" t="s">
        <v>61</v>
      </c>
      <c r="I19" s="24"/>
      <c r="J19" s="24"/>
      <c r="K19" s="26" t="s">
        <v>61</v>
      </c>
      <c r="L19" s="36"/>
      <c r="M19" s="63">
        <v>75</v>
      </c>
      <c r="N19" s="34"/>
      <c r="O19" s="2">
        <v>-10</v>
      </c>
      <c r="P19" s="34"/>
      <c r="Q19" s="24"/>
      <c r="R19" s="24"/>
      <c r="S19" s="26" t="s">
        <v>61</v>
      </c>
      <c r="T19" s="26" t="s">
        <v>61</v>
      </c>
      <c r="U19" s="24"/>
      <c r="V19" s="24"/>
      <c r="W19" s="26" t="s">
        <v>61</v>
      </c>
      <c r="X19" s="34"/>
      <c r="Y19" s="36" t="s">
        <v>39</v>
      </c>
      <c r="Z19" s="65" t="s">
        <v>152</v>
      </c>
      <c r="AA19" s="65" t="s">
        <v>152</v>
      </c>
      <c r="AB19" s="65" t="s">
        <v>152</v>
      </c>
      <c r="AC19" s="65" t="s">
        <v>152</v>
      </c>
      <c r="AD19" s="34"/>
      <c r="AF19" s="33"/>
      <c r="AG19" s="33"/>
      <c r="AH19" s="33"/>
    </row>
    <row r="20" spans="1:34" x14ac:dyDescent="0.4">
      <c r="A20" s="3"/>
      <c r="C20" s="2">
        <v>-7</v>
      </c>
      <c r="D20" s="2"/>
      <c r="E20" s="24"/>
      <c r="F20" s="24"/>
      <c r="G20" s="65" t="s">
        <v>152</v>
      </c>
      <c r="H20" s="65" t="s">
        <v>152</v>
      </c>
      <c r="I20" s="24"/>
      <c r="J20" s="24"/>
      <c r="K20" s="65" t="s">
        <v>152</v>
      </c>
      <c r="L20" s="36"/>
      <c r="M20" s="63">
        <v>75</v>
      </c>
      <c r="N20" s="34"/>
      <c r="O20" s="2">
        <v>-7</v>
      </c>
      <c r="P20" s="34"/>
      <c r="Q20" s="24"/>
      <c r="R20" s="24"/>
      <c r="S20" s="65" t="s">
        <v>152</v>
      </c>
      <c r="T20" s="65" t="s">
        <v>152</v>
      </c>
      <c r="U20" s="24"/>
      <c r="V20" s="24"/>
      <c r="W20" s="65" t="s">
        <v>152</v>
      </c>
      <c r="X20" s="34"/>
      <c r="Y20" s="65" t="s">
        <v>152</v>
      </c>
      <c r="Z20" s="65" t="s">
        <v>152</v>
      </c>
      <c r="AA20" s="65" t="s">
        <v>152</v>
      </c>
      <c r="AB20" s="65" t="s">
        <v>152</v>
      </c>
      <c r="AC20" s="65" t="s">
        <v>152</v>
      </c>
      <c r="AD20" s="34"/>
      <c r="AE20" s="2"/>
      <c r="AF20" s="34"/>
      <c r="AG20" s="34"/>
      <c r="AH20" s="33"/>
    </row>
    <row r="21" spans="1:34" x14ac:dyDescent="0.4">
      <c r="A21" s="3"/>
      <c r="C21" s="2">
        <v>2</v>
      </c>
      <c r="D21" s="2"/>
      <c r="E21" s="24"/>
      <c r="F21" s="24"/>
      <c r="G21" s="65" t="s">
        <v>152</v>
      </c>
      <c r="H21" s="65" t="s">
        <v>152</v>
      </c>
      <c r="I21" s="24"/>
      <c r="J21" s="24"/>
      <c r="K21" s="65" t="s">
        <v>152</v>
      </c>
      <c r="L21" s="36"/>
      <c r="M21" s="63">
        <v>75</v>
      </c>
      <c r="N21" s="34"/>
      <c r="O21" s="2">
        <v>2</v>
      </c>
      <c r="P21" s="34"/>
      <c r="Q21" s="24"/>
      <c r="R21" s="24"/>
      <c r="S21" s="65" t="s">
        <v>152</v>
      </c>
      <c r="T21" s="65" t="s">
        <v>152</v>
      </c>
      <c r="U21" s="24"/>
      <c r="V21" s="24"/>
      <c r="W21" s="65" t="s">
        <v>152</v>
      </c>
      <c r="X21" s="34"/>
      <c r="Y21" s="65" t="s">
        <v>152</v>
      </c>
      <c r="Z21" s="65" t="s">
        <v>152</v>
      </c>
      <c r="AA21" s="65" t="s">
        <v>152</v>
      </c>
      <c r="AB21" s="65" t="s">
        <v>152</v>
      </c>
      <c r="AC21" s="65" t="s">
        <v>152</v>
      </c>
      <c r="AD21" s="34"/>
      <c r="AE21" s="2"/>
      <c r="AF21" s="34"/>
      <c r="AG21" s="34"/>
      <c r="AH21" s="33"/>
    </row>
    <row r="22" spans="1:34" x14ac:dyDescent="0.4">
      <c r="A22" s="3"/>
      <c r="C22" s="2">
        <v>7</v>
      </c>
      <c r="D22" s="2"/>
      <c r="E22" s="24"/>
      <c r="F22" s="24"/>
      <c r="G22" s="65" t="s">
        <v>152</v>
      </c>
      <c r="H22" s="65" t="s">
        <v>152</v>
      </c>
      <c r="I22" s="24"/>
      <c r="J22" s="24"/>
      <c r="K22" s="65" t="s">
        <v>152</v>
      </c>
      <c r="L22" s="36"/>
      <c r="M22" s="63">
        <v>75</v>
      </c>
      <c r="N22" s="34"/>
      <c r="O22" s="2">
        <v>7</v>
      </c>
      <c r="P22" s="34"/>
      <c r="Q22" s="24"/>
      <c r="R22" s="24"/>
      <c r="S22" s="65" t="s">
        <v>152</v>
      </c>
      <c r="T22" s="65" t="s">
        <v>152</v>
      </c>
      <c r="U22" s="24"/>
      <c r="V22" s="24"/>
      <c r="W22" s="65" t="s">
        <v>152</v>
      </c>
      <c r="X22" s="34"/>
      <c r="Y22" s="65" t="s">
        <v>152</v>
      </c>
      <c r="Z22" s="65" t="s">
        <v>152</v>
      </c>
      <c r="AA22" s="65" t="s">
        <v>152</v>
      </c>
      <c r="AB22" s="65" t="s">
        <v>152</v>
      </c>
      <c r="AC22" s="65" t="s">
        <v>152</v>
      </c>
      <c r="AD22" s="34"/>
      <c r="AE22" s="2"/>
      <c r="AF22" s="34"/>
      <c r="AG22" s="34"/>
      <c r="AH22" s="33"/>
    </row>
    <row r="23" spans="1:34" x14ac:dyDescent="0.4">
      <c r="A23" s="3"/>
      <c r="C23" s="2">
        <v>12</v>
      </c>
      <c r="D23" s="2"/>
      <c r="E23" s="24"/>
      <c r="F23" s="24"/>
      <c r="G23" s="26" t="s">
        <v>61</v>
      </c>
      <c r="H23" s="26" t="s">
        <v>61</v>
      </c>
      <c r="I23" s="24"/>
      <c r="J23" s="24"/>
      <c r="K23" s="26" t="s">
        <v>61</v>
      </c>
      <c r="L23" s="36"/>
      <c r="M23" s="63">
        <v>75</v>
      </c>
      <c r="N23" s="34"/>
      <c r="O23" s="2">
        <v>12</v>
      </c>
      <c r="P23" s="34"/>
      <c r="Q23" s="24"/>
      <c r="R23" s="24"/>
      <c r="S23" s="26" t="s">
        <v>61</v>
      </c>
      <c r="T23" s="26" t="s">
        <v>61</v>
      </c>
      <c r="U23" s="24"/>
      <c r="V23" s="24"/>
      <c r="W23" s="26" t="s">
        <v>61</v>
      </c>
      <c r="X23" s="34"/>
      <c r="Y23" s="36"/>
      <c r="Z23" s="65" t="s">
        <v>152</v>
      </c>
      <c r="AA23" s="65" t="s">
        <v>152</v>
      </c>
      <c r="AB23" s="65" t="s">
        <v>152</v>
      </c>
      <c r="AC23" s="65" t="s">
        <v>152</v>
      </c>
      <c r="AD23" s="34"/>
      <c r="AE23" s="2"/>
      <c r="AF23" s="34"/>
      <c r="AG23" s="34"/>
      <c r="AH23" s="33"/>
    </row>
    <row r="24" spans="1:34" x14ac:dyDescent="0.4">
      <c r="A24" s="8"/>
      <c r="B24" s="8"/>
      <c r="C24" s="9"/>
      <c r="D24" s="9"/>
      <c r="E24" s="30"/>
      <c r="F24" s="30"/>
      <c r="G24" s="31"/>
      <c r="H24" s="31"/>
      <c r="I24" s="31"/>
      <c r="J24" s="31"/>
      <c r="K24" s="31"/>
      <c r="L24" s="30"/>
      <c r="M24" s="9"/>
      <c r="N24" s="30"/>
      <c r="O24" s="9"/>
      <c r="P24" s="30"/>
      <c r="Q24" s="30"/>
      <c r="R24" s="31"/>
      <c r="S24" s="31"/>
      <c r="T24" s="31"/>
      <c r="U24" s="31"/>
      <c r="V24" s="31"/>
      <c r="W24" s="31"/>
      <c r="X24" s="30"/>
      <c r="Y24" s="31"/>
      <c r="Z24" s="31"/>
      <c r="AA24" s="31"/>
      <c r="AB24" s="31"/>
      <c r="AC24" s="31"/>
      <c r="AD24" s="30"/>
      <c r="AE24" s="9"/>
      <c r="AF24" s="30"/>
      <c r="AG24" s="30"/>
      <c r="AH24" s="30"/>
    </row>
    <row r="25" spans="1:34" x14ac:dyDescent="0.4">
      <c r="A25" s="3"/>
      <c r="C25" s="4">
        <v>-28</v>
      </c>
      <c r="D25" s="2"/>
      <c r="E25" s="24"/>
      <c r="F25" s="24"/>
      <c r="G25" s="24"/>
      <c r="H25" s="24"/>
      <c r="I25" s="24"/>
      <c r="J25" s="24"/>
      <c r="K25" s="24"/>
      <c r="L25" s="36"/>
      <c r="M25" s="63">
        <v>55</v>
      </c>
      <c r="N25" s="34"/>
      <c r="O25" s="64">
        <v>-28</v>
      </c>
      <c r="P25" s="34"/>
      <c r="Q25" s="24"/>
      <c r="R25" s="24"/>
      <c r="S25" s="24"/>
      <c r="T25" s="24"/>
      <c r="U25" s="24"/>
      <c r="V25" s="24"/>
      <c r="W25" s="24"/>
      <c r="X25" s="62">
        <v>9</v>
      </c>
      <c r="Y25" s="36"/>
      <c r="Z25" s="24"/>
      <c r="AA25" s="24"/>
      <c r="AB25" s="24"/>
      <c r="AC25" s="24"/>
      <c r="AD25" s="34"/>
      <c r="AE25" s="2" t="s">
        <v>37</v>
      </c>
      <c r="AF25" s="65" t="s">
        <v>152</v>
      </c>
      <c r="AG25" s="65" t="s">
        <v>152</v>
      </c>
      <c r="AH25" s="65" t="s">
        <v>152</v>
      </c>
    </row>
    <row r="26" spans="1:34" x14ac:dyDescent="0.4">
      <c r="A26" s="3"/>
      <c r="C26" s="13">
        <v>-25</v>
      </c>
      <c r="D26" s="2"/>
      <c r="E26" s="24"/>
      <c r="F26" s="24"/>
      <c r="G26" s="65" t="s">
        <v>152</v>
      </c>
      <c r="H26" s="65" t="s">
        <v>152</v>
      </c>
      <c r="I26" s="24"/>
      <c r="J26" s="24"/>
      <c r="K26" s="65" t="s">
        <v>152</v>
      </c>
      <c r="L26" s="36"/>
      <c r="M26" s="63">
        <v>55</v>
      </c>
      <c r="N26" s="34"/>
      <c r="O26" s="2">
        <v>-25</v>
      </c>
      <c r="P26" s="34"/>
      <c r="Q26" s="24"/>
      <c r="R26" s="24"/>
      <c r="S26" s="65" t="s">
        <v>152</v>
      </c>
      <c r="T26" s="65" t="s">
        <v>152</v>
      </c>
      <c r="U26" s="24"/>
      <c r="V26" s="24"/>
      <c r="W26" s="65" t="s">
        <v>152</v>
      </c>
      <c r="X26" s="34"/>
      <c r="Y26" s="36"/>
      <c r="Z26" s="24"/>
      <c r="AA26" s="24"/>
      <c r="AB26" s="24"/>
      <c r="AC26" s="24"/>
      <c r="AD26" s="34"/>
      <c r="AE26" s="2"/>
      <c r="AF26" s="28"/>
      <c r="AG26" s="28"/>
      <c r="AH26" s="28"/>
    </row>
    <row r="27" spans="1:34" x14ac:dyDescent="0.4">
      <c r="A27" s="46"/>
      <c r="C27" s="13">
        <v>-20</v>
      </c>
      <c r="D27" s="2"/>
      <c r="E27" s="24"/>
      <c r="F27" s="24"/>
      <c r="G27" s="65" t="s">
        <v>152</v>
      </c>
      <c r="H27" s="65" t="s">
        <v>152</v>
      </c>
      <c r="I27" s="24"/>
      <c r="J27" s="24"/>
      <c r="K27" s="65" t="s">
        <v>152</v>
      </c>
      <c r="L27" s="36"/>
      <c r="M27" s="63">
        <v>65</v>
      </c>
      <c r="N27" s="34"/>
      <c r="O27" s="2">
        <v>-20</v>
      </c>
      <c r="P27" s="34"/>
      <c r="Q27" s="24"/>
      <c r="R27" s="24"/>
      <c r="S27" s="65" t="s">
        <v>152</v>
      </c>
      <c r="T27" s="65" t="s">
        <v>152</v>
      </c>
      <c r="U27" s="24"/>
      <c r="V27" s="24"/>
      <c r="W27" s="65" t="s">
        <v>152</v>
      </c>
      <c r="X27" s="34"/>
      <c r="Y27" s="36"/>
      <c r="Z27" s="24"/>
      <c r="AA27" s="24"/>
      <c r="AB27" s="24"/>
      <c r="AC27" s="24"/>
      <c r="AD27" s="34"/>
      <c r="AE27" s="2" t="s">
        <v>38</v>
      </c>
      <c r="AF27" s="65" t="s">
        <v>152</v>
      </c>
      <c r="AG27" s="65" t="s">
        <v>152</v>
      </c>
      <c r="AH27" s="65" t="s">
        <v>152</v>
      </c>
    </row>
    <row r="28" spans="1:34" x14ac:dyDescent="0.4">
      <c r="A28" s="3"/>
      <c r="C28" s="2">
        <v>-15</v>
      </c>
      <c r="D28" s="2"/>
      <c r="E28" s="24"/>
      <c r="F28" s="24"/>
      <c r="G28" s="65" t="s">
        <v>152</v>
      </c>
      <c r="H28" s="65" t="s">
        <v>152</v>
      </c>
      <c r="I28" s="24"/>
      <c r="J28" s="24"/>
      <c r="K28" s="65" t="s">
        <v>152</v>
      </c>
      <c r="L28" s="36"/>
      <c r="M28" s="63">
        <v>75</v>
      </c>
      <c r="N28" s="34"/>
      <c r="O28" s="2">
        <v>-15</v>
      </c>
      <c r="P28" s="34"/>
      <c r="Q28" s="24"/>
      <c r="R28" s="24"/>
      <c r="S28" s="65" t="s">
        <v>152</v>
      </c>
      <c r="T28" s="65" t="s">
        <v>152</v>
      </c>
      <c r="U28" s="24"/>
      <c r="V28" s="24"/>
      <c r="W28" s="65" t="s">
        <v>152</v>
      </c>
      <c r="X28" s="34"/>
      <c r="Y28" s="36"/>
      <c r="Z28" s="24"/>
      <c r="AA28" s="24"/>
      <c r="AB28" s="24"/>
      <c r="AC28" s="24"/>
      <c r="AD28" s="34"/>
      <c r="AE28" s="2" t="s">
        <v>40</v>
      </c>
      <c r="AF28" s="65" t="s">
        <v>152</v>
      </c>
      <c r="AG28" s="65" t="s">
        <v>152</v>
      </c>
      <c r="AH28" s="65" t="s">
        <v>152</v>
      </c>
    </row>
    <row r="29" spans="1:34" x14ac:dyDescent="0.4">
      <c r="A29" s="3"/>
      <c r="C29" s="2">
        <v>-10</v>
      </c>
      <c r="D29" s="2"/>
      <c r="E29" s="24"/>
      <c r="F29" s="24"/>
      <c r="G29" s="26" t="s">
        <v>61</v>
      </c>
      <c r="H29" s="26" t="s">
        <v>61</v>
      </c>
      <c r="I29" s="24"/>
      <c r="J29" s="24"/>
      <c r="K29" s="26" t="s">
        <v>61</v>
      </c>
      <c r="L29" s="36"/>
      <c r="M29" s="63">
        <v>75</v>
      </c>
      <c r="N29" s="34"/>
      <c r="O29" s="2">
        <v>-10</v>
      </c>
      <c r="P29" s="34"/>
      <c r="Q29" s="24"/>
      <c r="R29" s="24"/>
      <c r="S29" s="26" t="s">
        <v>61</v>
      </c>
      <c r="T29" s="26" t="s">
        <v>61</v>
      </c>
      <c r="U29" s="24"/>
      <c r="V29" s="24"/>
      <c r="W29" s="26" t="s">
        <v>61</v>
      </c>
      <c r="X29" s="34"/>
      <c r="Y29" s="36" t="s">
        <v>39</v>
      </c>
      <c r="Z29" s="65" t="s">
        <v>152</v>
      </c>
      <c r="AA29" s="65" t="s">
        <v>152</v>
      </c>
      <c r="AB29" s="65" t="s">
        <v>152</v>
      </c>
      <c r="AC29" s="65" t="s">
        <v>152</v>
      </c>
      <c r="AD29" s="34"/>
      <c r="AF29" s="33"/>
      <c r="AG29" s="33"/>
      <c r="AH29" s="33"/>
    </row>
    <row r="30" spans="1:34" x14ac:dyDescent="0.4">
      <c r="A30" s="3"/>
      <c r="C30" s="2">
        <v>-7</v>
      </c>
      <c r="D30" s="2"/>
      <c r="E30" s="24"/>
      <c r="F30" s="24"/>
      <c r="G30" s="65" t="s">
        <v>152</v>
      </c>
      <c r="H30" s="65" t="s">
        <v>152</v>
      </c>
      <c r="I30" s="24"/>
      <c r="J30" s="24"/>
      <c r="K30" s="65" t="s">
        <v>152</v>
      </c>
      <c r="L30" s="36"/>
      <c r="M30" s="63">
        <v>75</v>
      </c>
      <c r="N30" s="34"/>
      <c r="O30" s="2">
        <v>-7</v>
      </c>
      <c r="P30" s="34"/>
      <c r="Q30" s="24"/>
      <c r="R30" s="24"/>
      <c r="S30" s="65" t="s">
        <v>152</v>
      </c>
      <c r="T30" s="65" t="s">
        <v>152</v>
      </c>
      <c r="U30" s="24"/>
      <c r="V30" s="24"/>
      <c r="W30" s="65" t="s">
        <v>152</v>
      </c>
      <c r="X30" s="34"/>
      <c r="Y30" s="65" t="s">
        <v>152</v>
      </c>
      <c r="Z30" s="65" t="s">
        <v>152</v>
      </c>
      <c r="AA30" s="65" t="s">
        <v>152</v>
      </c>
      <c r="AB30" s="65" t="s">
        <v>152</v>
      </c>
      <c r="AC30" s="65" t="s">
        <v>152</v>
      </c>
      <c r="AD30" s="34"/>
      <c r="AE30" s="2"/>
      <c r="AF30" s="34"/>
      <c r="AG30" s="34"/>
      <c r="AH30" s="33"/>
    </row>
    <row r="31" spans="1:34" x14ac:dyDescent="0.4">
      <c r="A31" s="3"/>
      <c r="C31" s="2">
        <v>2</v>
      </c>
      <c r="D31" s="2"/>
      <c r="E31" s="24"/>
      <c r="F31" s="24"/>
      <c r="G31" s="65" t="s">
        <v>152</v>
      </c>
      <c r="H31" s="65" t="s">
        <v>152</v>
      </c>
      <c r="I31" s="24"/>
      <c r="J31" s="24"/>
      <c r="K31" s="65" t="s">
        <v>152</v>
      </c>
      <c r="L31" s="36"/>
      <c r="M31" s="63">
        <v>75</v>
      </c>
      <c r="N31" s="34"/>
      <c r="O31" s="2">
        <v>2</v>
      </c>
      <c r="P31" s="34"/>
      <c r="Q31" s="24"/>
      <c r="R31" s="24"/>
      <c r="S31" s="65" t="s">
        <v>152</v>
      </c>
      <c r="T31" s="65" t="s">
        <v>152</v>
      </c>
      <c r="U31" s="24"/>
      <c r="V31" s="24"/>
      <c r="W31" s="65" t="s">
        <v>152</v>
      </c>
      <c r="X31" s="34"/>
      <c r="Y31" s="65" t="s">
        <v>152</v>
      </c>
      <c r="Z31" s="65" t="s">
        <v>152</v>
      </c>
      <c r="AA31" s="65" t="s">
        <v>152</v>
      </c>
      <c r="AB31" s="65" t="s">
        <v>152</v>
      </c>
      <c r="AC31" s="65" t="s">
        <v>152</v>
      </c>
      <c r="AD31" s="34"/>
      <c r="AE31" s="2"/>
      <c r="AF31" s="34"/>
      <c r="AG31" s="34"/>
      <c r="AH31" s="33"/>
    </row>
    <row r="32" spans="1:34" x14ac:dyDescent="0.4">
      <c r="A32" s="3"/>
      <c r="C32" s="2">
        <v>7</v>
      </c>
      <c r="D32" s="2"/>
      <c r="E32" s="24"/>
      <c r="F32" s="24"/>
      <c r="G32" s="65" t="s">
        <v>152</v>
      </c>
      <c r="H32" s="65" t="s">
        <v>152</v>
      </c>
      <c r="I32" s="24"/>
      <c r="J32" s="24"/>
      <c r="K32" s="65" t="s">
        <v>152</v>
      </c>
      <c r="L32" s="36"/>
      <c r="M32" s="63">
        <v>75</v>
      </c>
      <c r="N32" s="34"/>
      <c r="O32" s="2">
        <v>7</v>
      </c>
      <c r="P32" s="34"/>
      <c r="Q32" s="24"/>
      <c r="R32" s="24"/>
      <c r="S32" s="65" t="s">
        <v>152</v>
      </c>
      <c r="T32" s="65" t="s">
        <v>152</v>
      </c>
      <c r="U32" s="24"/>
      <c r="V32" s="24"/>
      <c r="W32" s="65" t="s">
        <v>152</v>
      </c>
      <c r="X32" s="34"/>
      <c r="Y32" s="65" t="s">
        <v>152</v>
      </c>
      <c r="Z32" s="65" t="s">
        <v>152</v>
      </c>
      <c r="AA32" s="65" t="s">
        <v>152</v>
      </c>
      <c r="AB32" s="65" t="s">
        <v>152</v>
      </c>
      <c r="AC32" s="65" t="s">
        <v>152</v>
      </c>
      <c r="AD32" s="34"/>
      <c r="AE32" s="2"/>
      <c r="AF32" s="34"/>
      <c r="AG32" s="34"/>
      <c r="AH32" s="33"/>
    </row>
    <row r="33" spans="1:34" x14ac:dyDescent="0.4">
      <c r="A33" s="3"/>
      <c r="C33" s="2">
        <v>12</v>
      </c>
      <c r="D33" s="2"/>
      <c r="E33" s="24"/>
      <c r="F33" s="24"/>
      <c r="G33" s="26" t="s">
        <v>61</v>
      </c>
      <c r="H33" s="26" t="s">
        <v>61</v>
      </c>
      <c r="I33" s="24"/>
      <c r="J33" s="24"/>
      <c r="K33" s="26" t="s">
        <v>61</v>
      </c>
      <c r="L33" s="36"/>
      <c r="M33" s="63">
        <v>75</v>
      </c>
      <c r="N33" s="34"/>
      <c r="O33" s="2">
        <v>12</v>
      </c>
      <c r="P33" s="34"/>
      <c r="Q33" s="24"/>
      <c r="R33" s="24"/>
      <c r="S33" s="26" t="s">
        <v>61</v>
      </c>
      <c r="T33" s="26" t="s">
        <v>61</v>
      </c>
      <c r="U33" s="24"/>
      <c r="V33" s="24"/>
      <c r="W33" s="26" t="s">
        <v>61</v>
      </c>
      <c r="X33" s="34"/>
      <c r="Y33" s="36"/>
      <c r="Z33" s="65" t="s">
        <v>152</v>
      </c>
      <c r="AA33" s="65" t="s">
        <v>152</v>
      </c>
      <c r="AB33" s="65" t="s">
        <v>152</v>
      </c>
      <c r="AC33" s="65" t="s">
        <v>152</v>
      </c>
      <c r="AD33" s="34"/>
      <c r="AE33" s="2"/>
      <c r="AF33" s="34"/>
      <c r="AG33" s="34"/>
      <c r="AH33" s="33"/>
    </row>
    <row r="34" spans="1:34" x14ac:dyDescent="0.4">
      <c r="A34" s="8"/>
      <c r="B34" s="8"/>
      <c r="C34" s="9"/>
      <c r="D34" s="9"/>
      <c r="E34" s="18"/>
      <c r="F34" s="18"/>
      <c r="G34" s="22"/>
      <c r="H34" s="22"/>
      <c r="I34" s="22"/>
      <c r="J34" s="22"/>
      <c r="K34" s="22"/>
      <c r="L34" s="18"/>
      <c r="M34" s="18"/>
      <c r="N34" s="18"/>
      <c r="O34" s="18"/>
      <c r="P34" s="18"/>
      <c r="Q34" s="18"/>
      <c r="R34" s="22"/>
      <c r="S34" s="22"/>
      <c r="T34" s="22"/>
      <c r="U34" s="22"/>
      <c r="V34" s="22"/>
      <c r="W34" s="22"/>
      <c r="X34" s="18"/>
      <c r="Y34" s="22"/>
      <c r="Z34" s="22"/>
      <c r="AA34" s="22"/>
      <c r="AB34" s="22"/>
      <c r="AC34" s="22"/>
      <c r="AD34" s="18"/>
      <c r="AE34" s="18"/>
      <c r="AF34" s="18"/>
      <c r="AG34" s="18"/>
      <c r="AH34" s="18"/>
    </row>
    <row r="35" spans="1:34" x14ac:dyDescent="0.4">
      <c r="A35"/>
      <c r="AF35" s="15"/>
      <c r="AG35" s="15"/>
      <c r="AH35" s="15"/>
    </row>
    <row r="36" spans="1:34" x14ac:dyDescent="0.4">
      <c r="A36" s="47" t="s">
        <v>41</v>
      </c>
    </row>
    <row r="38" spans="1:34" x14ac:dyDescent="0.4">
      <c r="A38"/>
    </row>
    <row r="39" spans="1:34" x14ac:dyDescent="0.4">
      <c r="A39"/>
    </row>
    <row r="41" spans="1:34" x14ac:dyDescent="0.4">
      <c r="A41"/>
    </row>
    <row r="42" spans="1:34" x14ac:dyDescent="0.4">
      <c r="A42"/>
    </row>
    <row r="44" spans="1:34" x14ac:dyDescent="0.4">
      <c r="A44"/>
    </row>
    <row r="45" spans="1:34" x14ac:dyDescent="0.4">
      <c r="A45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d50350-448d-4e6a-bb33-cc5cd34b83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65A140607E44A9059B39CFFA4CDA5" ma:contentTypeVersion="15" ma:contentTypeDescription="Create a new document." ma:contentTypeScope="" ma:versionID="6691c4a049cf0c6749f88ad6e575965d">
  <xsd:schema xmlns:xsd="http://www.w3.org/2001/XMLSchema" xmlns:xs="http://www.w3.org/2001/XMLSchema" xmlns:p="http://schemas.microsoft.com/office/2006/metadata/properties" xmlns:ns2="04d50350-448d-4e6a-bb33-cc5cd34b8325" xmlns:ns3="1e316da9-ece5-43fb-a36d-0eba6eb63822" targetNamespace="http://schemas.microsoft.com/office/2006/metadata/properties" ma:root="true" ma:fieldsID="c8deb13b37d6d1051378aed21e972f05" ns2:_="" ns3:_="">
    <xsd:import namespace="04d50350-448d-4e6a-bb33-cc5cd34b8325"/>
    <xsd:import namespace="1e316da9-ece5-43fb-a36d-0eba6eb63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50350-448d-4e6a-bb33-cc5cd34b8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59f40-ac5e-46e7-9411-e29b692e5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16da9-ece5-43fb-a36d-0eba6eb6382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D5DA54-0F83-4FB4-A159-7E470E47CED2}">
  <ds:schemaRefs>
    <ds:schemaRef ds:uri="1e316da9-ece5-43fb-a36d-0eba6eb6382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04d50350-448d-4e6a-bb33-cc5cd34b8325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1A1E601-5F31-4AEF-8015-6D97DC44E6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682151-B5BA-4F8F-9476-79E4077F7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d50350-448d-4e6a-bb33-cc5cd34b8325"/>
    <ds:schemaRef ds:uri="1e316da9-ece5-43fb-a36d-0eba6eb63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34</vt:i4>
      </vt:variant>
    </vt:vector>
  </HeadingPairs>
  <TitlesOfParts>
    <vt:vector size="34" baseType="lpstr">
      <vt:lpstr>ADC0509L_E5 (LT)</vt:lpstr>
      <vt:lpstr>ADC0309K_E5 (LT)</vt:lpstr>
      <vt:lpstr>ADC0912K6E5 (T-CAP)</vt:lpstr>
      <vt:lpstr>SDC0509L_E5 (LT)</vt:lpstr>
      <vt:lpstr>SDC0309K_E5 (LT)</vt:lpstr>
      <vt:lpstr>SXC09K_E5 (T-CAP)</vt:lpstr>
      <vt:lpstr>SXC12K6E5 (T-CAP)</vt:lpstr>
      <vt:lpstr>SXC09K_E8 (T-CAP</vt:lpstr>
      <vt:lpstr>SXC12K9E8 (T-CAP)</vt:lpstr>
      <vt:lpstr>SXC16K9E8 (T-CAP)</vt:lpstr>
      <vt:lpstr>WH-ADC0309J3E5(B) (LT)</vt:lpstr>
      <vt:lpstr>WH-ADC0309J3E5C (LT)</vt:lpstr>
      <vt:lpstr>WH-ADC0316M9E82(AN) (T-CAP)</vt:lpstr>
      <vt:lpstr>WH-WXG_ME8 (T-CAP)</vt:lpstr>
      <vt:lpstr>WH-SDC0316M9E8 (T-CAP)</vt:lpstr>
      <vt:lpstr>WH-ADC0316M9E83(AN) (T-CAP) </vt:lpstr>
      <vt:lpstr>WH-ADC0912K6E8(AN) (T-CAP)</vt:lpstr>
      <vt:lpstr>WH-ADC16K9E83(AN) (T-CAP)</vt:lpstr>
      <vt:lpstr>WH-WXG_ME5 (T-CAP)</vt:lpstr>
      <vt:lpstr>WH-ADC0916M3E52 (AN,UK) (T-CAP)</vt:lpstr>
      <vt:lpstr>WH-ADC0916M3E53(AN,UK) (T-CAP)</vt:lpstr>
      <vt:lpstr>WH-SDC0916M3E5 (T-CAP)</vt:lpstr>
      <vt:lpstr>WH_ADC0509L3E5(UK)1</vt:lpstr>
      <vt:lpstr>WH-ADC16K6E5(AN,UK)</vt:lpstr>
      <vt:lpstr>WH-SDC16K6E5</vt:lpstr>
      <vt:lpstr>WH-ADC0916M3E5(UK)1 (HP)</vt:lpstr>
      <vt:lpstr>WH-ADC0316M9E81 (T-CAP)</vt:lpstr>
      <vt:lpstr>WH-ADC0916M3E5(UK)1 (T-CAP)</vt:lpstr>
      <vt:lpstr>WH-ADC16K6E5(AN,UK)3</vt:lpstr>
      <vt:lpstr>WH-ADC0916M_E5(AN)2</vt:lpstr>
      <vt:lpstr>WH-ADC0916M_E5(AN)3</vt:lpstr>
      <vt:lpstr>WH-SDC0916M_E5</vt:lpstr>
      <vt:lpstr>WH-WDG12_16ME5</vt:lpstr>
      <vt:lpstr>TEMPLATE DNT!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Hönig</dc:creator>
  <cp:keywords/>
  <dc:description/>
  <cp:lastModifiedBy>Mikhail Kobrine</cp:lastModifiedBy>
  <cp:revision/>
  <dcterms:created xsi:type="dcterms:W3CDTF">2015-09-21T14:01:06Z</dcterms:created>
  <dcterms:modified xsi:type="dcterms:W3CDTF">2026-02-23T09:28:30Z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0x0101003B265A140607E44A9059B39CFFA4CDA5</vt:lpwstr>
  </property>
  <property fmtid="{D5CDD505-2E9C-101B-9397-08002B2CF9AE}" pid="3" name="MediaServiceImageTags">
    <vt:lpwstr/>
  </property>
</Properties>
</file>